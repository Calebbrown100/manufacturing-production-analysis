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hidePivotFieldList="1" defaultThemeVersion="166925"/>
  <xr:revisionPtr revIDLastSave="0" documentId="8_{CF35D598-EBBC-4BA0-B551-11D670F9525B}" xr6:coauthVersionLast="47" xr6:coauthVersionMax="47" xr10:uidLastSave="{00000000-0000-0000-0000-000000000000}"/>
  <bookViews>
    <workbookView xWindow="240" yWindow="105" windowWidth="14805" windowHeight="8010" firstSheet="1" activeTab="2" xr2:uid="{00000000-000D-0000-FFFF-FFFF00000000}"/>
  </bookViews>
  <sheets>
    <sheet name="Detail1" sheetId="4" r:id="rId1"/>
    <sheet name="Raw Data" sheetId="3" r:id="rId2"/>
    <sheet name="Analysis" sheetId="2" r:id="rId3"/>
    <sheet name="Dashboard" sheetId="1" r:id="rId4"/>
    <sheet name="Dashboard Data" sheetId="5" r:id="rId5"/>
  </sheets>
  <calcPr calcId="191028"/>
  <pivotCaches>
    <pivotCache cacheId="177"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4" i="1" l="1"/>
  <c r="N9" i="1"/>
  <c r="J9" i="1"/>
  <c r="F9" i="1"/>
  <c r="J4" i="1"/>
  <c r="F4" i="1"/>
  <c r="N18" i="2"/>
  <c r="N19" i="2"/>
  <c r="N20" i="2"/>
  <c r="N21" i="2"/>
  <c r="N22" i="2"/>
  <c r="N23" i="2"/>
  <c r="N24" i="2"/>
  <c r="N17" i="2"/>
  <c r="M18" i="2"/>
  <c r="M19" i="2"/>
  <c r="M20" i="2"/>
  <c r="M21" i="2"/>
  <c r="M22" i="2"/>
  <c r="M23" i="2"/>
  <c r="M24" i="2"/>
  <c r="M17" i="2"/>
  <c r="L18" i="2"/>
  <c r="L19" i="2"/>
  <c r="L20" i="2"/>
  <c r="L21" i="2"/>
  <c r="L22" i="2"/>
  <c r="L23" i="2"/>
  <c r="L24" i="2"/>
  <c r="L17" i="2"/>
  <c r="F27" i="2"/>
  <c r="F26" i="2"/>
  <c r="F25" i="2"/>
  <c r="F24" i="2"/>
  <c r="E27" i="2"/>
  <c r="E26" i="2"/>
  <c r="E25" i="2"/>
  <c r="E24" i="2"/>
  <c r="F13" i="2"/>
  <c r="F12" i="2"/>
  <c r="F11" i="2"/>
  <c r="E13" i="2"/>
  <c r="E12" i="2"/>
  <c r="E11" i="2"/>
  <c r="B14" i="2"/>
  <c r="B13" i="2"/>
  <c r="B12" i="2"/>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B11" i="2"/>
  <c r="B10" i="2"/>
  <c r="B9" i="2"/>
  <c r="B8" i="2"/>
  <c r="B7" i="2"/>
  <c r="B6" i="2"/>
  <c r="B5" i="2"/>
  <c r="B4" i="2"/>
  <c r="B3" i="2"/>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2" i="3"/>
  <c r="R50"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2"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2" i="3"/>
  <c r="H96" i="3"/>
  <c r="F96" i="3"/>
  <c r="G96" i="3"/>
</calcChain>
</file>

<file path=xl/sharedStrings.xml><?xml version="1.0" encoding="utf-8"?>
<sst xmlns="http://schemas.openxmlformats.org/spreadsheetml/2006/main" count="1167" uniqueCount="173">
  <si>
    <t>Details for Sum of Downtime Minutes - Production Line: Line 1</t>
  </si>
  <si>
    <t>Date</t>
  </si>
  <si>
    <t>Employee ID</t>
  </si>
  <si>
    <t>Employee Name</t>
  </si>
  <si>
    <t>Shift</t>
  </si>
  <si>
    <t>Work Order</t>
  </si>
  <si>
    <t>Product</t>
  </si>
  <si>
    <t>Operation</t>
  </si>
  <si>
    <t>Production Line</t>
  </si>
  <si>
    <t>Units Produced</t>
  </si>
  <si>
    <t>Target Units</t>
  </si>
  <si>
    <t>Defective Units</t>
  </si>
  <si>
    <t>Rework Units</t>
  </si>
  <si>
    <t>Downtime Minutes</t>
  </si>
  <si>
    <t>Hours Worked</t>
  </si>
  <si>
    <t>Supervisor</t>
  </si>
  <si>
    <t>Productivity %</t>
  </si>
  <si>
    <t>Defect Rate</t>
  </si>
  <si>
    <t>Rework Rate</t>
  </si>
  <si>
    <t>Units per Labor Hour</t>
  </si>
  <si>
    <t>Target Status</t>
  </si>
  <si>
    <t>E108</t>
  </si>
  <si>
    <t>Emily Davis</t>
  </si>
  <si>
    <t>1st</t>
  </si>
  <si>
    <t>WO-260801</t>
  </si>
  <si>
    <t>Control Module B</t>
  </si>
  <si>
    <t>Testing</t>
  </si>
  <si>
    <t>Line 1</t>
  </si>
  <si>
    <t>Robert King</t>
  </si>
  <si>
    <t>below target</t>
  </si>
  <si>
    <t>E107</t>
  </si>
  <si>
    <t>Daniel Jackson</t>
  </si>
  <si>
    <t>WO-260890</t>
  </si>
  <si>
    <t>Sensor Unit C</t>
  </si>
  <si>
    <t>Assembly</t>
  </si>
  <si>
    <t>Jennifer Lee</t>
  </si>
  <si>
    <t>met target</t>
  </si>
  <si>
    <t>WO-260886</t>
  </si>
  <si>
    <t>Packaging</t>
  </si>
  <si>
    <t>E102</t>
  </si>
  <si>
    <t>Michael Reed</t>
  </si>
  <si>
    <t>WO-260882</t>
  </si>
  <si>
    <t>Control Module A</t>
  </si>
  <si>
    <t>E103</t>
  </si>
  <si>
    <t>David Wilson</t>
  </si>
  <si>
    <t>WO-260805</t>
  </si>
  <si>
    <t>WO-260806</t>
  </si>
  <si>
    <t>Inspection</t>
  </si>
  <si>
    <t>WO-260881</t>
  </si>
  <si>
    <t>E104</t>
  </si>
  <si>
    <t>Maria Lopez</t>
  </si>
  <si>
    <t>WO-260879</t>
  </si>
  <si>
    <t>WO-260809</t>
  </si>
  <si>
    <t>E106</t>
  </si>
  <si>
    <t>James Brown</t>
  </si>
  <si>
    <t>WO-260878</t>
  </si>
  <si>
    <t>E101</t>
  </si>
  <si>
    <t>Ashley Carter</t>
  </si>
  <si>
    <t>WO-260877</t>
  </si>
  <si>
    <t>WO-260812</t>
  </si>
  <si>
    <t>WO-260813</t>
  </si>
  <si>
    <t>WO-260874</t>
  </si>
  <si>
    <t>WO-260872</t>
  </si>
  <si>
    <t>WO-260869</t>
  </si>
  <si>
    <t>WO-260817</t>
  </si>
  <si>
    <t>WO-260863</t>
  </si>
  <si>
    <t>WO-260862</t>
  </si>
  <si>
    <t>WO-260861</t>
  </si>
  <si>
    <t>WO-260857</t>
  </si>
  <si>
    <t>WO-260822</t>
  </si>
  <si>
    <t>WO-260823</t>
  </si>
  <si>
    <t>E105</t>
  </si>
  <si>
    <t>Sarah Johnson</t>
  </si>
  <si>
    <t>WO-260824</t>
  </si>
  <si>
    <t>WO-260825</t>
  </si>
  <si>
    <t>WO-260856</t>
  </si>
  <si>
    <t>WO-260855</t>
  </si>
  <si>
    <t>WO-260854</t>
  </si>
  <si>
    <t>WO-260852</t>
  </si>
  <si>
    <t>WO-260849</t>
  </si>
  <si>
    <t>WO-260845</t>
  </si>
  <si>
    <t>WO-260832</t>
  </si>
  <si>
    <t>WO-260833</t>
  </si>
  <si>
    <t>WO-260836</t>
  </si>
  <si>
    <t>WO-260802</t>
  </si>
  <si>
    <t>Line 3</t>
  </si>
  <si>
    <t>WO-260803</t>
  </si>
  <si>
    <t>WO-260804</t>
  </si>
  <si>
    <t>WO-260807</t>
  </si>
  <si>
    <t>WO-260808</t>
  </si>
  <si>
    <t>Line 2</t>
  </si>
  <si>
    <t>WO-260810</t>
  </si>
  <si>
    <t>WO-260811</t>
  </si>
  <si>
    <t>WO-260814</t>
  </si>
  <si>
    <t>WO-260815</t>
  </si>
  <si>
    <t>WO-260816</t>
  </si>
  <si>
    <t>WO-260818</t>
  </si>
  <si>
    <t>WO-260819</t>
  </si>
  <si>
    <t>WO-260820</t>
  </si>
  <si>
    <t>WO-260821</t>
  </si>
  <si>
    <t>WO-260826</t>
  </si>
  <si>
    <t>WO-260827</t>
  </si>
  <si>
    <t>WO-260828</t>
  </si>
  <si>
    <t>WO-260829</t>
  </si>
  <si>
    <t>WO-260830</t>
  </si>
  <si>
    <t>WO-260831</t>
  </si>
  <si>
    <t>WO-260834</t>
  </si>
  <si>
    <t>WO-260835</t>
  </si>
  <si>
    <t>WO-260837</t>
  </si>
  <si>
    <t>WO-260838</t>
  </si>
  <si>
    <t>WO-260839</t>
  </si>
  <si>
    <t>WO-260840</t>
  </si>
  <si>
    <t>WO-260841</t>
  </si>
  <si>
    <t>WO-260842</t>
  </si>
  <si>
    <t>WO-260843</t>
  </si>
  <si>
    <t>WO-260844</t>
  </si>
  <si>
    <t>WO-260846</t>
  </si>
  <si>
    <t>WO-260847</t>
  </si>
  <si>
    <t>WO-260848</t>
  </si>
  <si>
    <t>WO-260850</t>
  </si>
  <si>
    <t>WO-260851</t>
  </si>
  <si>
    <t>WO-260853</t>
  </si>
  <si>
    <t>WO-260858</t>
  </si>
  <si>
    <t>WO-260859</t>
  </si>
  <si>
    <t>WO-260860</t>
  </si>
  <si>
    <t>WO-260864</t>
  </si>
  <si>
    <t>WO-260865</t>
  </si>
  <si>
    <t>WO-260866</t>
  </si>
  <si>
    <t>WO-260867</t>
  </si>
  <si>
    <t>WO-260868</t>
  </si>
  <si>
    <t>WO-260870</t>
  </si>
  <si>
    <t>WO-260871</t>
  </si>
  <si>
    <t>WO-260873</t>
  </si>
  <si>
    <t>WO-260875</t>
  </si>
  <si>
    <t>WO-260876</t>
  </si>
  <si>
    <t>WO-260880</t>
  </si>
  <si>
    <t>WO-260883</t>
  </si>
  <si>
    <t>WO-260884</t>
  </si>
  <si>
    <t>WO-260885</t>
  </si>
  <si>
    <t>WO-260887</t>
  </si>
  <si>
    <t>WO-260888</t>
  </si>
  <si>
    <t>WO-260889</t>
  </si>
  <si>
    <t>Production Performance Summary</t>
  </si>
  <si>
    <t>Total Units Produced</t>
  </si>
  <si>
    <t>Sum of Units Produced</t>
  </si>
  <si>
    <t>Sum of Rework Units</t>
  </si>
  <si>
    <t>Sum of Target Units</t>
  </si>
  <si>
    <t>Sum of Downtime Minutes</t>
  </si>
  <si>
    <t>Sum of Defective Units</t>
  </si>
  <si>
    <t>Sum of Hours Worked</t>
  </si>
  <si>
    <t>Total Target Units</t>
  </si>
  <si>
    <t>Total Defective Units</t>
  </si>
  <si>
    <t>Total Rework Units</t>
  </si>
  <si>
    <t>Total Downtime Minutes</t>
  </si>
  <si>
    <t>Grand Total</t>
  </si>
  <si>
    <t>Total Labor Hours</t>
  </si>
  <si>
    <t>Overall Productivity %</t>
  </si>
  <si>
    <t>Overall Defect Rate</t>
  </si>
  <si>
    <t>Line</t>
  </si>
  <si>
    <t>Overall Rework Rate</t>
  </si>
  <si>
    <t>Records That Met Target</t>
  </si>
  <si>
    <t>Records Below Target</t>
  </si>
  <si>
    <t>Target Attainment %</t>
  </si>
  <si>
    <t>Micheal Reed</t>
  </si>
  <si>
    <t>Management Summary</t>
  </si>
  <si>
    <r>
      <rPr>
        <sz val="11"/>
        <color rgb="FF000000"/>
        <rFont val="Calibri"/>
        <scheme val="minor"/>
      </rPr>
      <t xml:space="preserve">Based on the completed production analysis, a total of </t>
    </r>
    <r>
      <rPr>
        <b/>
        <sz val="11"/>
        <color rgb="FF000000"/>
        <rFont val="Calibri"/>
        <scheme val="minor"/>
      </rPr>
      <t>9,661 units</t>
    </r>
    <r>
      <rPr>
        <sz val="11"/>
        <color rgb="FF000000"/>
        <rFont val="Calibri"/>
        <scheme val="minor"/>
      </rPr>
      <t xml:space="preserve"> were produced with an overall productivity rate of </t>
    </r>
    <r>
      <rPr>
        <b/>
        <sz val="11"/>
        <color rgb="FF000000"/>
        <rFont val="Calibri"/>
        <scheme val="minor"/>
      </rPr>
      <t>96.03%</t>
    </r>
    <r>
      <rPr>
        <sz val="11"/>
        <color rgb="FF000000"/>
        <rFont val="Calibri"/>
        <scheme val="minor"/>
      </rPr>
      <t xml:space="preserve">. However, only </t>
    </r>
    <r>
      <rPr>
        <b/>
        <sz val="11"/>
        <color rgb="FF000000"/>
        <rFont val="Calibri"/>
        <scheme val="minor"/>
      </rPr>
      <t>41.11% of production records met their target</t>
    </r>
    <r>
      <rPr>
        <sz val="11"/>
        <color rgb="FF000000"/>
        <rFont val="Calibri"/>
        <scheme val="minor"/>
      </rPr>
      <t xml:space="preserve">, indicating an opportunity to improve overall target attainment. </t>
    </r>
    <r>
      <rPr>
        <b/>
        <sz val="11"/>
        <color rgb="FF000000"/>
        <rFont val="Calibri"/>
        <scheme val="minor"/>
      </rPr>
      <t>Production Line 3</t>
    </r>
    <r>
      <rPr>
        <sz val="11"/>
        <color rgb="FF000000"/>
        <rFont val="Calibri"/>
        <scheme val="minor"/>
      </rPr>
      <t xml:space="preserve"> should be investigated first because it had the lowest productivity rate at </t>
    </r>
    <r>
      <rPr>
        <b/>
        <sz val="11"/>
        <color rgb="FF000000"/>
        <rFont val="Calibri"/>
        <scheme val="minor"/>
      </rPr>
      <t>94.99%</t>
    </r>
    <r>
      <rPr>
        <sz val="11"/>
        <color rgb="FF000000"/>
        <rFont val="Calibri"/>
        <scheme val="minor"/>
      </rPr>
      <t xml:space="preserve"> and the highest rework rate at </t>
    </r>
    <r>
      <rPr>
        <b/>
        <sz val="11"/>
        <color rgb="FF000000"/>
        <rFont val="Calibri"/>
        <scheme val="minor"/>
      </rPr>
      <t>6.77%</t>
    </r>
    <r>
      <rPr>
        <sz val="11"/>
        <color rgb="FF000000"/>
        <rFont val="Calibri"/>
        <scheme val="minor"/>
      </rPr>
      <t xml:space="preserve">. At the operation level, </t>
    </r>
    <r>
      <rPr>
        <b/>
        <sz val="11"/>
        <color rgb="FF000000"/>
        <rFont val="Calibri"/>
        <scheme val="minor"/>
      </rPr>
      <t>Inspection</t>
    </r>
    <r>
      <rPr>
        <sz val="11"/>
        <color rgb="FF000000"/>
        <rFont val="Calibri"/>
        <scheme val="minor"/>
      </rPr>
      <t xml:space="preserve"> recorded the highest rework rate at </t>
    </r>
    <r>
      <rPr>
        <b/>
        <sz val="11"/>
        <color rgb="FF000000"/>
        <rFont val="Calibri"/>
        <scheme val="minor"/>
      </rPr>
      <t>5.19%</t>
    </r>
    <r>
      <rPr>
        <sz val="11"/>
        <color rgb="FF000000"/>
        <rFont val="Calibri"/>
        <scheme val="minor"/>
      </rPr>
      <t xml:space="preserve">, while </t>
    </r>
    <r>
      <rPr>
        <b/>
        <sz val="11"/>
        <color rgb="FF000000"/>
        <rFont val="Calibri"/>
        <scheme val="minor"/>
      </rPr>
      <t>Packaging</t>
    </r>
    <r>
      <rPr>
        <sz val="11"/>
        <color rgb="FF000000"/>
        <rFont val="Calibri"/>
        <scheme val="minor"/>
      </rPr>
      <t xml:space="preserve"> had the lowest productivity rate at </t>
    </r>
    <r>
      <rPr>
        <b/>
        <sz val="11"/>
        <color rgb="FF000000"/>
        <rFont val="Calibri"/>
        <scheme val="minor"/>
      </rPr>
      <t>95.08%</t>
    </r>
    <r>
      <rPr>
        <sz val="11"/>
        <color rgb="FF000000"/>
        <rFont val="Calibri"/>
        <scheme val="minor"/>
      </rPr>
      <t>. I recommend that Process Engineering investigate the causes of Line 3's elevated rework and lower productivity, with additional monitoring of the Inspection operation to identify factors contributing to rework. Packaging performance should also be reviewed to determine opportunities to increase productivity. Overall, reducing rework and improving production consistency should help increase the facility's target attainment rate.</t>
    </r>
  </si>
  <si>
    <t>Manufacturing Production Performance Dashboard</t>
  </si>
  <si>
    <t>TOTAL UNITS PRODUCED</t>
  </si>
  <si>
    <t>OVERALL PRODUCTIVITY</t>
  </si>
  <si>
    <t>DEFECT RATE</t>
  </si>
  <si>
    <t>REWORK RATE</t>
  </si>
  <si>
    <t>DOWNTIME</t>
  </si>
  <si>
    <t>TARGET ATTAINMENT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</si>
</sst>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000000"/>
      <name val="Calibri"/>
    </font>
    <font>
      <b/>
      <sz val="11"/>
      <color theme="1"/>
      <name val="Calibri"/>
      <family val="2"/>
      <scheme val="minor"/>
    </font>
    <font>
      <b/>
      <sz val="20"/>
      <color theme="1"/>
      <name val="Calibri"/>
      <family val="2"/>
      <scheme val="minor"/>
    </font>
    <font>
      <sz val="20"/>
      <color theme="1"/>
      <name val="Calibri"/>
      <family val="2"/>
      <scheme val="minor"/>
    </font>
    <font>
      <sz val="11"/>
      <color rgb="FF000000"/>
      <name val="Calibri"/>
      <scheme val="minor"/>
    </font>
    <font>
      <b/>
      <sz val="11"/>
      <color rgb="FF000000"/>
      <name val="Calibri"/>
      <scheme val="minor"/>
    </font>
  </fonts>
  <fills count="2">
    <fill>
      <patternFill patternType="none"/>
    </fill>
    <fill>
      <patternFill patternType="gray125"/>
    </fill>
  </fills>
  <borders count="12">
    <border>
      <left/>
      <right/>
      <top/>
      <bottom/>
      <diagonal/>
    </border>
    <border>
      <left/>
      <right/>
      <top/>
      <bottom style="thin">
        <color rgb="FFD9E1F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1" fillId="0" borderId="1" xfId="0" applyFont="1" applyBorder="1" applyAlignment="1"/>
    <xf numFmtId="14" fontId="1" fillId="0" borderId="1" xfId="0" applyNumberFormat="1" applyFont="1" applyBorder="1" applyAlignment="1"/>
    <xf numFmtId="14" fontId="0" fillId="0" borderId="0" xfId="0" applyNumberFormat="1"/>
    <xf numFmtId="14" fontId="1" fillId="0" borderId="0" xfId="0" applyNumberFormat="1" applyFont="1" applyBorder="1" applyAlignment="1"/>
    <xf numFmtId="0" fontId="1" fillId="0" borderId="0" xfId="0" applyFont="1" applyBorder="1" applyAlignment="1"/>
    <xf numFmtId="10" fontId="1" fillId="0" borderId="0" xfId="0" applyNumberFormat="1" applyFont="1" applyBorder="1" applyAlignment="1"/>
    <xf numFmtId="2" fontId="1" fillId="0" borderId="0" xfId="0" applyNumberFormat="1" applyFont="1" applyBorder="1" applyAlignment="1"/>
    <xf numFmtId="10" fontId="0" fillId="0" borderId="0" xfId="0" applyNumberFormat="1"/>
    <xf numFmtId="0" fontId="0" fillId="0" borderId="0" xfId="0" applyNumberFormat="1"/>
    <xf numFmtId="0" fontId="0" fillId="0" borderId="0" xfId="0" pivotButton="1"/>
    <xf numFmtId="0" fontId="2" fillId="0" borderId="0" xfId="0" applyFont="1"/>
    <xf numFmtId="2" fontId="0" fillId="0" borderId="0" xfId="0" applyNumberFormat="1"/>
    <xf numFmtId="0" fontId="0" fillId="0" borderId="0" xfId="0" applyAlignment="1">
      <alignment horizontal="center"/>
    </xf>
    <xf numFmtId="0" fontId="0" fillId="0" borderId="0" xfId="0" applyAlignment="1">
      <alignment horizontal="center"/>
    </xf>
    <xf numFmtId="0" fontId="2" fillId="0" borderId="2" xfId="0" applyFont="1" applyBorder="1" applyAlignment="1">
      <alignment horizontal="center"/>
    </xf>
    <xf numFmtId="0" fontId="3" fillId="0" borderId="2" xfId="0" applyFont="1" applyBorder="1" applyAlignment="1">
      <alignment horizontal="center"/>
    </xf>
    <xf numFmtId="0" fontId="0" fillId="0" borderId="0" xfId="0" applyAlignment="1"/>
    <xf numFmtId="10" fontId="3" fillId="0" borderId="2" xfId="0" applyNumberFormat="1" applyFont="1" applyBorder="1" applyAlignment="1">
      <alignment horizontal="center"/>
    </xf>
    <xf numFmtId="0" fontId="3" fillId="0" borderId="0" xfId="0" applyFont="1" applyAlignment="1">
      <alignment horizontal="center"/>
    </xf>
    <xf numFmtId="0" fontId="3" fillId="0" borderId="0" xfId="0" applyFont="1" applyAlignment="1"/>
    <xf numFmtId="10" fontId="3" fillId="0" borderId="3" xfId="0" applyNumberFormat="1" applyFont="1" applyBorder="1" applyAlignment="1">
      <alignment horizontal="center"/>
    </xf>
    <xf numFmtId="10" fontId="3" fillId="0" borderId="4" xfId="0" applyNumberFormat="1" applyFont="1" applyBorder="1" applyAlignment="1">
      <alignment horizontal="center"/>
    </xf>
    <xf numFmtId="10" fontId="3" fillId="0" borderId="5" xfId="0" applyNumberFormat="1" applyFont="1" applyBorder="1" applyAlignment="1">
      <alignment horizontal="center"/>
    </xf>
    <xf numFmtId="10" fontId="3" fillId="0" borderId="6" xfId="0" applyNumberFormat="1" applyFont="1" applyBorder="1" applyAlignment="1">
      <alignment horizontal="center"/>
    </xf>
    <xf numFmtId="10" fontId="3" fillId="0" borderId="7" xfId="0" applyNumberFormat="1" applyFont="1" applyBorder="1" applyAlignment="1">
      <alignment horizontal="center"/>
    </xf>
    <xf numFmtId="10" fontId="3" fillId="0" borderId="8" xfId="0" applyNumberFormat="1"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3" fillId="0" borderId="9" xfId="0" applyFont="1" applyBorder="1" applyAlignment="1">
      <alignment horizontal="center"/>
    </xf>
    <xf numFmtId="10" fontId="3" fillId="0" borderId="9" xfId="0" applyNumberFormat="1" applyFont="1" applyBorder="1" applyAlignment="1">
      <alignment horizontal="center"/>
    </xf>
    <xf numFmtId="0" fontId="0" fillId="0" borderId="0" xfId="0" applyFont="1" applyBorder="1" applyAlignment="1">
      <alignment horizontal="center"/>
    </xf>
    <xf numFmtId="10" fontId="4" fillId="0" borderId="0" xfId="0" applyNumberFormat="1" applyFont="1" applyBorder="1" applyAlignment="1">
      <alignment horizontal="center"/>
    </xf>
    <xf numFmtId="0" fontId="5" fillId="0" borderId="0" xfId="0" applyFont="1" applyAlignment="1">
      <alignment horizontal="center"/>
    </xf>
  </cellXfs>
  <cellStyles count="1">
    <cellStyle name="Normal" xfId="0" builtinId="0"/>
  </cellStyles>
  <dxfs count="24">
    <dxf>
      <font>
        <b val="0"/>
        <i val="0"/>
        <strike val="0"/>
        <condense val="0"/>
        <extend val="0"/>
        <outline val="0"/>
        <shadow val="0"/>
        <u val="none"/>
        <vertAlign val="baseline"/>
        <sz val="11"/>
        <color rgb="FF000000"/>
        <name val="Calibri"/>
        <scheme val="none"/>
      </font>
      <numFmt numFmtId="0" formatCode="General"/>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numFmt numFmtId="0" formatCode="General"/>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numFmt numFmtId="0" formatCode="General"/>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numFmt numFmtId="14" formatCode="0.00%"/>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numFmt numFmtId="0" formatCode="General"/>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bottom style="thin">
          <color rgb="FFD9E1F2"/>
        </bottom>
        <vertical/>
        <horizontal/>
      </border>
    </dxf>
    <dxf>
      <font>
        <b val="0"/>
        <i val="0"/>
        <strike val="0"/>
        <condense val="0"/>
        <extend val="0"/>
        <outline val="0"/>
        <shadow val="0"/>
        <u val="none"/>
        <vertAlign val="baseline"/>
        <sz val="11"/>
        <color rgb="FF000000"/>
        <name val="Calibri"/>
        <scheme val="none"/>
      </font>
      <numFmt numFmtId="19" formatCode="m/d/yyyy"/>
      <alignment horizontal="general" vertical="bottom" textRotation="0" wrapText="0" indent="0" justifyLastLine="0" shrinkToFit="0" readingOrder="0"/>
      <border diagonalUp="0" diagonalDown="0">
        <left/>
        <right/>
        <top/>
        <bottom style="thin">
          <color rgb="FFD9E1F2"/>
        </bottom>
        <vertical/>
        <horizontal/>
      </border>
    </dxf>
    <dxf>
      <border outline="0">
        <bottom style="thin">
          <color rgb="FFD9E1F2"/>
        </bottom>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numFmt numFmtId="19" formatCode="m/d/yyyy"/>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 vs Target</a:t>
            </a:r>
          </a:p>
        </c:rich>
      </c:tx>
      <c:layout>
        <c:manualLayout>
          <c:xMode val="edge"/>
          <c:yMode val="edge"/>
          <c:x val="0.33875894410674862"/>
          <c:y val="4.1939427010621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Data'!$B$1</c:f>
              <c:strCache>
                <c:ptCount val="1"/>
                <c:pt idx="0">
                  <c:v>Units Produced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Data'!$A$2:$A$4</c:f>
              <c:strCache>
                <c:ptCount val="3"/>
                <c:pt idx="0">
                  <c:v>Line 1</c:v>
                </c:pt>
                <c:pt idx="1">
                  <c:v>Line 2</c:v>
                </c:pt>
                <c:pt idx="2">
                  <c:v>Line 3</c:v>
                </c:pt>
              </c:strCache>
            </c:strRef>
          </c:cat>
          <c:val>
            <c:numRef>
              <c:f>'Dashboard Data'!$B$2:$B$4</c:f>
              <c:numCache>
                <c:formatCode>General</c:formatCode>
                <c:ptCount val="3"/>
                <c:pt idx="0">
                  <c:v>3728</c:v>
                </c:pt>
                <c:pt idx="1">
                  <c:v>2713</c:v>
                </c:pt>
                <c:pt idx="2">
                  <c:v>3220</c:v>
                </c:pt>
              </c:numCache>
            </c:numRef>
          </c:val>
          <c:extLst>
            <c:ext xmlns:c16="http://schemas.microsoft.com/office/drawing/2014/chart" uri="{C3380CC4-5D6E-409C-BE32-E72D297353CC}">
              <c16:uniqueId val="{00000005-FFC9-4045-AAF5-F72C81B81BF1}"/>
            </c:ext>
          </c:extLst>
        </c:ser>
        <c:ser>
          <c:idx val="1"/>
          <c:order val="1"/>
          <c:tx>
            <c:strRef>
              <c:f>'Dashboard Data'!$C$1</c:f>
              <c:strCache>
                <c:ptCount val="1"/>
                <c:pt idx="0">
                  <c:v>Target Units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Data'!$A$2:$A$4</c:f>
              <c:strCache>
                <c:ptCount val="3"/>
                <c:pt idx="0">
                  <c:v>Line 1</c:v>
                </c:pt>
                <c:pt idx="1">
                  <c:v>Line 2</c:v>
                </c:pt>
                <c:pt idx="2">
                  <c:v>Line 3</c:v>
                </c:pt>
              </c:strCache>
            </c:strRef>
          </c:cat>
          <c:val>
            <c:numRef>
              <c:f>'Dashboard Data'!$C$2:$C$4</c:f>
              <c:numCache>
                <c:formatCode>General</c:formatCode>
                <c:ptCount val="3"/>
                <c:pt idx="0">
                  <c:v>3860</c:v>
                </c:pt>
                <c:pt idx="1">
                  <c:v>2810</c:v>
                </c:pt>
                <c:pt idx="2">
                  <c:v>3390</c:v>
                </c:pt>
              </c:numCache>
            </c:numRef>
          </c:val>
          <c:extLst>
            <c:ext xmlns:c16="http://schemas.microsoft.com/office/drawing/2014/chart" uri="{C3380CC4-5D6E-409C-BE32-E72D297353CC}">
              <c16:uniqueId val="{00000007-FFC9-4045-AAF5-F72C81B81BF1}"/>
            </c:ext>
          </c:extLst>
        </c:ser>
        <c:dLbls>
          <c:dLblPos val="outEnd"/>
          <c:showLegendKey val="0"/>
          <c:showVal val="1"/>
          <c:showCatName val="0"/>
          <c:showSerName val="0"/>
          <c:showPercent val="0"/>
          <c:showBubbleSize val="0"/>
        </c:dLbls>
        <c:gapWidth val="219"/>
        <c:overlap val="-27"/>
        <c:axId val="1267821575"/>
        <c:axId val="1288780807"/>
      </c:barChart>
      <c:catAx>
        <c:axId val="1267821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780807"/>
        <c:crosses val="autoZero"/>
        <c:auto val="1"/>
        <c:lblAlgn val="ctr"/>
        <c:lblOffset val="100"/>
        <c:noMultiLvlLbl val="0"/>
      </c:catAx>
      <c:valAx>
        <c:axId val="1288780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821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Rework Rate by Production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Data'!$F$1</c:f>
              <c:strCache>
                <c:ptCount val="1"/>
                <c:pt idx="0">
                  <c:v>Rework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Data'!$E$2:$E$4</c:f>
              <c:strCache>
                <c:ptCount val="3"/>
                <c:pt idx="0">
                  <c:v>Line 1</c:v>
                </c:pt>
                <c:pt idx="1">
                  <c:v>Line 2</c:v>
                </c:pt>
                <c:pt idx="2">
                  <c:v>Line 3</c:v>
                </c:pt>
              </c:strCache>
            </c:strRef>
          </c:cat>
          <c:val>
            <c:numRef>
              <c:f>'Dashboard Data'!$F$2:$F$4</c:f>
              <c:numCache>
                <c:formatCode>0.00%</c:formatCode>
                <c:ptCount val="3"/>
                <c:pt idx="0">
                  <c:v>3.8899999999999997E-2</c:v>
                </c:pt>
                <c:pt idx="1">
                  <c:v>3.2800000000000003E-2</c:v>
                </c:pt>
                <c:pt idx="2">
                  <c:v>6.7699999999999996E-2</c:v>
                </c:pt>
              </c:numCache>
            </c:numRef>
          </c:val>
          <c:extLst>
            <c:ext xmlns:c16="http://schemas.microsoft.com/office/drawing/2014/chart" uri="{C3380CC4-5D6E-409C-BE32-E72D297353CC}">
              <c16:uniqueId val="{00000003-01BE-42DD-81BE-DE6EB1435378}"/>
            </c:ext>
          </c:extLst>
        </c:ser>
        <c:dLbls>
          <c:dLblPos val="outEnd"/>
          <c:showLegendKey val="0"/>
          <c:showVal val="1"/>
          <c:showCatName val="0"/>
          <c:showSerName val="0"/>
          <c:showPercent val="0"/>
          <c:showBubbleSize val="0"/>
        </c:dLbls>
        <c:gapWidth val="219"/>
        <c:overlap val="-27"/>
        <c:axId val="1335422983"/>
        <c:axId val="1335425031"/>
      </c:barChart>
      <c:catAx>
        <c:axId val="1335422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25031"/>
        <c:crosses val="autoZero"/>
        <c:auto val="1"/>
        <c:lblAlgn val="ctr"/>
        <c:lblOffset val="100"/>
        <c:noMultiLvlLbl val="0"/>
      </c:catAx>
      <c:valAx>
        <c:axId val="1335425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22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Productivity by Operation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Analysis!$E$23</c:f>
              <c:strCache>
                <c:ptCount val="1"/>
                <c:pt idx="0">
                  <c:v>Productivity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Analysis!$D$24:$D$27</c:f>
              <c:strCache>
                <c:ptCount val="4"/>
                <c:pt idx="0">
                  <c:v>Assembly</c:v>
                </c:pt>
                <c:pt idx="1">
                  <c:v>Inspection</c:v>
                </c:pt>
                <c:pt idx="2">
                  <c:v>Packaging</c:v>
                </c:pt>
                <c:pt idx="3">
                  <c:v>Testing</c:v>
                </c:pt>
              </c:strCache>
            </c:strRef>
          </c:cat>
          <c:val>
            <c:numRef>
              <c:f>Analysis!$E$24:$E$27</c:f>
              <c:numCache>
                <c:formatCode>0.00%</c:formatCode>
                <c:ptCount val="4"/>
                <c:pt idx="0">
                  <c:v>0.9676579925650558</c:v>
                </c:pt>
                <c:pt idx="1">
                  <c:v>0.97155963302752291</c:v>
                </c:pt>
                <c:pt idx="2">
                  <c:v>0.95079999999999998</c:v>
                </c:pt>
                <c:pt idx="3">
                  <c:v>0.95278810408921932</c:v>
                </c:pt>
              </c:numCache>
            </c:numRef>
          </c:val>
          <c:extLst>
            <c:ext xmlns:c16="http://schemas.microsoft.com/office/drawing/2014/chart" uri="{C3380CC4-5D6E-409C-BE32-E72D297353CC}">
              <c16:uniqueId val="{00000000-7FD8-4EF9-9401-59A29AD49BCC}"/>
            </c:ext>
          </c:extLst>
        </c:ser>
        <c:dLbls>
          <c:dLblPos val="outEnd"/>
          <c:showLegendKey val="0"/>
          <c:showVal val="1"/>
          <c:showCatName val="0"/>
          <c:showSerName val="0"/>
          <c:showPercent val="0"/>
          <c:showBubbleSize val="0"/>
        </c:dLbls>
        <c:gapWidth val="219"/>
        <c:overlap val="-27"/>
        <c:axId val="1347114503"/>
        <c:axId val="1347117063"/>
      </c:barChart>
      <c:catAx>
        <c:axId val="1347114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117063"/>
        <c:crosses val="autoZero"/>
        <c:auto val="1"/>
        <c:lblAlgn val="ctr"/>
        <c:lblOffset val="100"/>
        <c:noMultiLvlLbl val="0"/>
      </c:catAx>
      <c:valAx>
        <c:axId val="1347117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114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12</xdr:row>
      <xdr:rowOff>9525</xdr:rowOff>
    </xdr:from>
    <xdr:to>
      <xdr:col>7</xdr:col>
      <xdr:colOff>9525</xdr:colOff>
      <xdr:row>26</xdr:row>
      <xdr:rowOff>85725</xdr:rowOff>
    </xdr:to>
    <xdr:graphicFrame macro="">
      <xdr:nvGraphicFramePr>
        <xdr:cNvPr id="3" name="Chart 2">
          <a:extLst>
            <a:ext uri="{FF2B5EF4-FFF2-40B4-BE49-F238E27FC236}">
              <a16:creationId xmlns:a16="http://schemas.microsoft.com/office/drawing/2014/main" id="{9DC79DC2-5CCE-D820-AB86-0C28C66F4107}"/>
            </a:ext>
            <a:ext uri="{147F2762-F138-4A5C-976F-8EAC2B608ADB}">
              <a16:predDERef xmlns:a16="http://schemas.microsoft.com/office/drawing/2014/main" pred="{9583609A-71A0-46EE-A654-C50A6B0E3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12</xdr:row>
      <xdr:rowOff>0</xdr:rowOff>
    </xdr:from>
    <xdr:to>
      <xdr:col>14</xdr:col>
      <xdr:colOff>552450</xdr:colOff>
      <xdr:row>26</xdr:row>
      <xdr:rowOff>76200</xdr:rowOff>
    </xdr:to>
    <xdr:graphicFrame macro="">
      <xdr:nvGraphicFramePr>
        <xdr:cNvPr id="4" name="Chart 3">
          <a:extLst>
            <a:ext uri="{FF2B5EF4-FFF2-40B4-BE49-F238E27FC236}">
              <a16:creationId xmlns:a16="http://schemas.microsoft.com/office/drawing/2014/main" id="{8FC4896A-BF42-CA89-58B3-4A0CC24F2035}"/>
            </a:ext>
            <a:ext uri="{147F2762-F138-4A5C-976F-8EAC2B608ADB}">
              <a16:predDERef xmlns:a16="http://schemas.microsoft.com/office/drawing/2014/main" pred="{9DC79DC2-5CCE-D820-AB86-0C28C66F4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266700</xdr:colOff>
      <xdr:row>11</xdr:row>
      <xdr:rowOff>171450</xdr:rowOff>
    </xdr:from>
    <xdr:to>
      <xdr:col>21</xdr:col>
      <xdr:colOff>228600</xdr:colOff>
      <xdr:row>26</xdr:row>
      <xdr:rowOff>57150</xdr:rowOff>
    </xdr:to>
    <xdr:graphicFrame macro="">
      <xdr:nvGraphicFramePr>
        <xdr:cNvPr id="5" name="Chart 4">
          <a:extLst>
            <a:ext uri="{FF2B5EF4-FFF2-40B4-BE49-F238E27FC236}">
              <a16:creationId xmlns:a16="http://schemas.microsoft.com/office/drawing/2014/main" id="{A4548660-B79F-452E-92A0-DB0443AE3DBE}"/>
            </a:ext>
            <a:ext uri="{147F2762-F138-4A5C-976F-8EAC2B608ADB}">
              <a16:predDERef xmlns:a16="http://schemas.microsoft.com/office/drawing/2014/main" pred="{8FC4896A-BF42-CA89-58B3-4A0CC24F2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61.505379282411" createdVersion="8" refreshedVersion="8" minRefreshableVersion="3" recordCount="90" xr:uid="{7B935DA9-61FB-4007-BDAA-0D987FEB2C18}">
  <cacheSource type="worksheet">
    <worksheetSource name="Table1"/>
  </cacheSource>
  <cacheFields count="20">
    <cacheField name="Date" numFmtId="14">
      <sharedItems containsSemiMixedTypes="0" containsNonDate="0" containsDate="1" containsString="0" minDate="2026-08-03T00:00:00" maxDate="2026-08-15T00:00:00"/>
    </cacheField>
    <cacheField name="Employee ID" numFmtId="0">
      <sharedItems/>
    </cacheField>
    <cacheField name="Employee Name" numFmtId="0">
      <sharedItems count="8">
        <s v="Emily Davis"/>
        <s v="Maria Lopez"/>
        <s v="Ashley Carter"/>
        <s v="David Wilson"/>
        <s v="Michael Reed"/>
        <s v="Daniel Jackson"/>
        <s v="James Brown"/>
        <s v="Sarah Johnson"/>
      </sharedItems>
    </cacheField>
    <cacheField name="Shift" numFmtId="0">
      <sharedItems/>
    </cacheField>
    <cacheField name="Work Order" numFmtId="0">
      <sharedItems/>
    </cacheField>
    <cacheField name="Product" numFmtId="0">
      <sharedItems/>
    </cacheField>
    <cacheField name="Operation" numFmtId="0">
      <sharedItems count="4">
        <s v="Testing"/>
        <s v="Assembly"/>
        <s v="Inspection"/>
        <s v="Packaging"/>
      </sharedItems>
    </cacheField>
    <cacheField name="Production Line" numFmtId="0">
      <sharedItems count="3">
        <s v="Line 1"/>
        <s v="Line 3"/>
        <s v="Line 2"/>
      </sharedItems>
    </cacheField>
    <cacheField name="Units Produced" numFmtId="0">
      <sharedItems containsSemiMixedTypes="0" containsString="0" containsNumber="1" containsInteger="1" minValue="62" maxValue="146"/>
    </cacheField>
    <cacheField name="Target Units" numFmtId="0">
      <sharedItems containsSemiMixedTypes="0" containsString="0" containsNumber="1" containsInteger="1" minValue="90" maxValue="130"/>
    </cacheField>
    <cacheField name="Defective Units" numFmtId="0">
      <sharedItems containsSemiMixedTypes="0" containsString="0" containsNumber="1" containsInteger="1" minValue="0" maxValue="10"/>
    </cacheField>
    <cacheField name="Rework Units" numFmtId="0">
      <sharedItems containsSemiMixedTypes="0" containsString="0" containsNumber="1" containsInteger="1" minValue="0" maxValue="12"/>
    </cacheField>
    <cacheField name="Downtime Minutes" numFmtId="0">
      <sharedItems containsSemiMixedTypes="0" containsString="0" containsNumber="1" containsInteger="1" minValue="0" maxValue="51"/>
    </cacheField>
    <cacheField name="Hours Worked" numFmtId="0">
      <sharedItems containsSemiMixedTypes="0" containsString="0" containsNumber="1" minValue="7.5" maxValue="9"/>
    </cacheField>
    <cacheField name="Supervisor" numFmtId="0">
      <sharedItems/>
    </cacheField>
    <cacheField name="Productivity %" numFmtId="10">
      <sharedItems containsSemiMixedTypes="0" containsString="0" containsNumber="1" minValue="0.65" maxValue="1.1888888888888889"/>
    </cacheField>
    <cacheField name="Defect Rate" numFmtId="10">
      <sharedItems containsSemiMixedTypes="0" containsString="0" containsNumber="1" minValue="0" maxValue="0.14516129032258066"/>
    </cacheField>
    <cacheField name="Rework Rate" numFmtId="10">
      <sharedItems containsSemiMixedTypes="0" containsString="0" containsNumber="1" minValue="0" maxValue="0.14666666666666667"/>
    </cacheField>
    <cacheField name="Units per Labor Hour" numFmtId="2">
      <sharedItems containsSemiMixedTypes="0" containsString="0" containsNumber="1" minValue="6.8888888888888893" maxValue="19.466666666666665"/>
    </cacheField>
    <cacheField name="Target 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d v="2026-08-07T00:00:00"/>
    <s v="E108"/>
    <x v="0"/>
    <s v="1st"/>
    <s v="WO-260801"/>
    <s v="Control Module B"/>
    <x v="0"/>
    <x v="0"/>
    <n v="85"/>
    <n v="90"/>
    <n v="6"/>
    <n v="6"/>
    <n v="1"/>
    <n v="8"/>
    <s v="Robert King"/>
    <n v="0.94444444444444442"/>
    <n v="7.0588235294117646E-2"/>
    <n v="7.0588235294117646E-2"/>
    <n v="10.625"/>
    <s v="below target"/>
  </r>
  <r>
    <d v="2026-08-06T00:00:00"/>
    <s v="E104"/>
    <x v="1"/>
    <s v="1st"/>
    <s v="WO-260802"/>
    <s v="Control Module B"/>
    <x v="1"/>
    <x v="1"/>
    <n v="141"/>
    <n v="130"/>
    <n v="5"/>
    <n v="6"/>
    <n v="3"/>
    <n v="8"/>
    <s v="Robert King"/>
    <n v="1.0846153846153845"/>
    <n v="3.5460992907801421E-2"/>
    <n v="4.2553191489361701E-2"/>
    <n v="17.625"/>
    <s v="met target"/>
  </r>
  <r>
    <d v="2026-08-12T00:00:00"/>
    <s v="E101"/>
    <x v="2"/>
    <s v="1st"/>
    <s v="WO-260803"/>
    <s v="Control Module B"/>
    <x v="1"/>
    <x v="1"/>
    <n v="114"/>
    <n v="120"/>
    <n v="10"/>
    <n v="10"/>
    <n v="10"/>
    <n v="8.5"/>
    <s v="Jennifer Lee"/>
    <n v="0.95"/>
    <n v="8.771929824561403E-2"/>
    <n v="8.771929824561403E-2"/>
    <n v="13.411764705882353"/>
    <s v="below target"/>
  </r>
  <r>
    <d v="2026-08-04T00:00:00"/>
    <s v="E103"/>
    <x v="3"/>
    <s v="1st"/>
    <s v="WO-260804"/>
    <s v="Control Module B"/>
    <x v="2"/>
    <x v="1"/>
    <n v="80"/>
    <n v="90"/>
    <n v="7"/>
    <n v="7"/>
    <n v="2"/>
    <n v="8"/>
    <s v="Jennifer Lee"/>
    <n v="0.88888888888888884"/>
    <n v="8.7499999999999994E-2"/>
    <n v="8.7499999999999994E-2"/>
    <n v="10"/>
    <s v="below target"/>
  </r>
  <r>
    <d v="2026-08-07T00:00:00"/>
    <s v="E103"/>
    <x v="3"/>
    <s v="1st"/>
    <s v="WO-260805"/>
    <s v="Sensor Unit C"/>
    <x v="1"/>
    <x v="0"/>
    <n v="79"/>
    <n v="90"/>
    <n v="4"/>
    <n v="6"/>
    <n v="13"/>
    <n v="8"/>
    <s v="Jennifer Lee"/>
    <n v="0.87777777777777777"/>
    <n v="5.0632911392405063E-2"/>
    <n v="7.5949367088607597E-2"/>
    <n v="9.875"/>
    <s v="below target"/>
  </r>
  <r>
    <d v="2026-08-10T00:00:00"/>
    <s v="E108"/>
    <x v="0"/>
    <s v="1st"/>
    <s v="WO-260806"/>
    <s v="Control Module A"/>
    <x v="2"/>
    <x v="0"/>
    <n v="103"/>
    <n v="110"/>
    <n v="4"/>
    <n v="6"/>
    <n v="28"/>
    <n v="7.5"/>
    <s v="Robert King"/>
    <n v="0.9363636363636364"/>
    <n v="3.8834951456310676E-2"/>
    <n v="5.8252427184466021E-2"/>
    <n v="13.733333333333333"/>
    <s v="below target"/>
  </r>
  <r>
    <d v="2026-08-05T00:00:00"/>
    <s v="E104"/>
    <x v="1"/>
    <s v="1st"/>
    <s v="WO-260807"/>
    <s v="Control Module A"/>
    <x v="3"/>
    <x v="1"/>
    <n v="75"/>
    <n v="90"/>
    <n v="10"/>
    <n v="11"/>
    <n v="14"/>
    <n v="8"/>
    <s v="Robert King"/>
    <n v="0.83333333333333337"/>
    <n v="0.13333333333333333"/>
    <n v="0.14666666666666667"/>
    <n v="9.375"/>
    <s v="below target"/>
  </r>
  <r>
    <d v="2026-08-07T00:00:00"/>
    <s v="E102"/>
    <x v="4"/>
    <s v="1st"/>
    <s v="WO-260808"/>
    <s v="Control Module B"/>
    <x v="3"/>
    <x v="2"/>
    <n v="130"/>
    <n v="130"/>
    <n v="4"/>
    <n v="4"/>
    <n v="29"/>
    <n v="8"/>
    <s v="Jennifer Lee"/>
    <n v="1"/>
    <n v="3.0769230769230771E-2"/>
    <n v="3.0769230769230771E-2"/>
    <n v="16.25"/>
    <s v="met target"/>
  </r>
  <r>
    <d v="2026-08-13T00:00:00"/>
    <s v="E108"/>
    <x v="0"/>
    <s v="1st"/>
    <s v="WO-260809"/>
    <s v="Sensor Unit C"/>
    <x v="1"/>
    <x v="0"/>
    <n v="146"/>
    <n v="130"/>
    <n v="5"/>
    <n v="5"/>
    <n v="10"/>
    <n v="7.5"/>
    <s v="Robert King"/>
    <n v="1.1230769230769231"/>
    <n v="3.4246575342465752E-2"/>
    <n v="3.4246575342465752E-2"/>
    <n v="19.466666666666665"/>
    <s v="met target"/>
  </r>
  <r>
    <d v="2026-08-11T00:00:00"/>
    <s v="E107"/>
    <x v="5"/>
    <s v="1st"/>
    <s v="WO-260810"/>
    <s v="Sensor Unit C"/>
    <x v="3"/>
    <x v="1"/>
    <n v="62"/>
    <n v="90"/>
    <n v="9"/>
    <n v="9"/>
    <n v="47"/>
    <n v="9"/>
    <s v="Jennifer Lee"/>
    <n v="0.68888888888888888"/>
    <n v="0.14516129032258066"/>
    <n v="0.14516129032258066"/>
    <n v="6.8888888888888893"/>
    <s v="below target"/>
  </r>
  <r>
    <d v="2026-08-14T00:00:00"/>
    <s v="E101"/>
    <x v="2"/>
    <s v="1st"/>
    <s v="WO-260811"/>
    <s v="Control Module A"/>
    <x v="0"/>
    <x v="2"/>
    <n v="117"/>
    <n v="100"/>
    <n v="3"/>
    <n v="4"/>
    <n v="30"/>
    <n v="7.5"/>
    <s v="Jennifer Lee"/>
    <n v="1.17"/>
    <n v="2.564102564102564E-2"/>
    <n v="3.4188034188034191E-2"/>
    <n v="15.6"/>
    <s v="met target"/>
  </r>
  <r>
    <d v="2026-08-04T00:00:00"/>
    <s v="E103"/>
    <x v="3"/>
    <s v="1st"/>
    <s v="WO-260812"/>
    <s v="Control Module A"/>
    <x v="2"/>
    <x v="0"/>
    <n v="91"/>
    <n v="100"/>
    <n v="6"/>
    <n v="7"/>
    <n v="12"/>
    <n v="7.5"/>
    <s v="Jennifer Lee"/>
    <n v="0.91"/>
    <n v="6.5934065934065936E-2"/>
    <n v="7.6923076923076927E-2"/>
    <n v="12.133333333333333"/>
    <s v="below target"/>
  </r>
  <r>
    <d v="2026-08-14T00:00:00"/>
    <s v="E104"/>
    <x v="1"/>
    <s v="1st"/>
    <s v="WO-260813"/>
    <s v="Control Module B"/>
    <x v="2"/>
    <x v="0"/>
    <n v="123"/>
    <n v="120"/>
    <n v="6"/>
    <n v="6"/>
    <n v="24"/>
    <n v="8"/>
    <s v="Robert King"/>
    <n v="1.0249999999999999"/>
    <n v="4.878048780487805E-2"/>
    <n v="4.878048780487805E-2"/>
    <n v="15.375"/>
    <s v="met target"/>
  </r>
  <r>
    <d v="2026-08-13T00:00:00"/>
    <s v="E104"/>
    <x v="1"/>
    <s v="1st"/>
    <s v="WO-260814"/>
    <s v="Control Module A"/>
    <x v="2"/>
    <x v="1"/>
    <n v="74"/>
    <n v="90"/>
    <n v="7"/>
    <n v="9"/>
    <n v="14"/>
    <n v="8.5"/>
    <s v="Robert King"/>
    <n v="0.82222222222222219"/>
    <n v="9.45945945945946E-2"/>
    <n v="0.12162162162162163"/>
    <n v="8.7058823529411757"/>
    <s v="below target"/>
  </r>
  <r>
    <d v="2026-08-06T00:00:00"/>
    <s v="E102"/>
    <x v="4"/>
    <s v="1st"/>
    <s v="WO-260815"/>
    <s v="Control Module B"/>
    <x v="2"/>
    <x v="2"/>
    <n v="95"/>
    <n v="90"/>
    <n v="5"/>
    <n v="4"/>
    <n v="21"/>
    <n v="8.5"/>
    <s v="Jennifer Lee"/>
    <n v="1.0555555555555556"/>
    <n v="5.2631578947368418E-2"/>
    <n v="4.2105263157894736E-2"/>
    <n v="11.176470588235293"/>
    <s v="met target"/>
  </r>
  <r>
    <d v="2026-08-05T00:00:00"/>
    <s v="E101"/>
    <x v="2"/>
    <s v="1st"/>
    <s v="WO-260816"/>
    <s v="Control Module B"/>
    <x v="1"/>
    <x v="1"/>
    <n v="131"/>
    <n v="130"/>
    <n v="2"/>
    <n v="4"/>
    <n v="14"/>
    <n v="7.5"/>
    <s v="Jennifer Lee"/>
    <n v="1.0076923076923077"/>
    <n v="1.5267175572519083E-2"/>
    <n v="3.0534351145038167E-2"/>
    <n v="17.466666666666665"/>
    <s v="met target"/>
  </r>
  <r>
    <d v="2026-08-07T00:00:00"/>
    <s v="E104"/>
    <x v="4"/>
    <s v="1st"/>
    <s v="WO-260817"/>
    <s v="Sensor Unit C"/>
    <x v="0"/>
    <x v="0"/>
    <n v="94"/>
    <n v="130"/>
    <n v="0"/>
    <n v="1"/>
    <n v="5"/>
    <n v="8"/>
    <s v="Robert King"/>
    <n v="0.72307692307692306"/>
    <n v="0"/>
    <n v="1.0638297872340425E-2"/>
    <n v="11.75"/>
    <s v="below target"/>
  </r>
  <r>
    <d v="2026-08-06T00:00:00"/>
    <s v="E107"/>
    <x v="5"/>
    <s v="1st"/>
    <s v="WO-260818"/>
    <s v="Control Module A"/>
    <x v="1"/>
    <x v="2"/>
    <n v="109"/>
    <n v="100"/>
    <n v="0"/>
    <n v="1"/>
    <n v="25"/>
    <n v="8"/>
    <s v="Jennifer Lee"/>
    <n v="1.0900000000000001"/>
    <n v="0"/>
    <n v="9.1743119266055051E-3"/>
    <n v="13.625"/>
    <s v="met target"/>
  </r>
  <r>
    <d v="2026-08-04T00:00:00"/>
    <s v="E106"/>
    <x v="6"/>
    <s v="1st"/>
    <s v="WO-260819"/>
    <s v="Control Module A"/>
    <x v="1"/>
    <x v="1"/>
    <n v="80"/>
    <n v="90"/>
    <n v="3"/>
    <n v="2"/>
    <n v="35"/>
    <n v="8.5"/>
    <s v="Robert King"/>
    <n v="0.88888888888888884"/>
    <n v="3.7499999999999999E-2"/>
    <n v="2.5000000000000001E-2"/>
    <n v="9.4117647058823533"/>
    <s v="below target"/>
  </r>
  <r>
    <d v="2026-08-12T00:00:00"/>
    <s v="E102"/>
    <x v="4"/>
    <s v="1st"/>
    <s v="WO-260820"/>
    <s v="Control Module A"/>
    <x v="0"/>
    <x v="2"/>
    <n v="93"/>
    <n v="130"/>
    <n v="7"/>
    <n v="7"/>
    <n v="3"/>
    <n v="9"/>
    <s v="Jennifer Lee"/>
    <n v="0.7153846153846154"/>
    <n v="7.5268817204301078E-2"/>
    <n v="7.5268817204301078E-2"/>
    <n v="10.333333333333334"/>
    <s v="below target"/>
  </r>
  <r>
    <d v="2026-08-10T00:00:00"/>
    <s v="E107"/>
    <x v="5"/>
    <s v="1st"/>
    <s v="WO-260821"/>
    <s v="Sensor Unit C"/>
    <x v="1"/>
    <x v="2"/>
    <n v="95"/>
    <n v="110"/>
    <n v="6"/>
    <n v="6"/>
    <n v="30"/>
    <n v="9"/>
    <s v="Jennifer Lee"/>
    <n v="0.86363636363636365"/>
    <n v="6.3157894736842107E-2"/>
    <n v="6.3157894736842107E-2"/>
    <n v="10.555555555555555"/>
    <s v="below target"/>
  </r>
  <r>
    <d v="2026-08-13T00:00:00"/>
    <s v="E104"/>
    <x v="1"/>
    <s v="1st"/>
    <s v="WO-260822"/>
    <s v="Sensor Unit C"/>
    <x v="0"/>
    <x v="0"/>
    <n v="97"/>
    <n v="110"/>
    <n v="6"/>
    <n v="6"/>
    <n v="30"/>
    <n v="8"/>
    <s v="Robert King"/>
    <n v="0.88181818181818183"/>
    <n v="6.1855670103092786E-2"/>
    <n v="6.1855670103092786E-2"/>
    <n v="12.125"/>
    <s v="below target"/>
  </r>
  <r>
    <d v="2026-08-07T00:00:00"/>
    <s v="E108"/>
    <x v="0"/>
    <s v="1st"/>
    <s v="WO-260823"/>
    <s v="Control Module B"/>
    <x v="2"/>
    <x v="0"/>
    <n v="107"/>
    <n v="100"/>
    <n v="5"/>
    <n v="4"/>
    <n v="19"/>
    <n v="8"/>
    <s v="Robert King"/>
    <n v="1.07"/>
    <n v="4.6728971962616821E-2"/>
    <n v="3.7383177570093455E-2"/>
    <n v="13.375"/>
    <s v="met target"/>
  </r>
  <r>
    <d v="2026-08-04T00:00:00"/>
    <s v="E105"/>
    <x v="7"/>
    <s v="1st"/>
    <s v="WO-260824"/>
    <s v="Control Module A"/>
    <x v="0"/>
    <x v="0"/>
    <n v="91"/>
    <n v="110"/>
    <n v="0"/>
    <n v="1"/>
    <n v="11"/>
    <n v="8.5"/>
    <s v="Robert King"/>
    <n v="0.82727272727272727"/>
    <n v="0"/>
    <n v="1.098901098901099E-2"/>
    <n v="10.705882352941176"/>
    <s v="below target"/>
  </r>
  <r>
    <d v="2026-08-07T00:00:00"/>
    <s v="E105"/>
    <x v="7"/>
    <s v="1st"/>
    <s v="WO-260825"/>
    <s v="Sensor Unit C"/>
    <x v="1"/>
    <x v="0"/>
    <n v="87"/>
    <n v="90"/>
    <n v="0"/>
    <n v="0"/>
    <n v="26"/>
    <n v="8.5"/>
    <s v="Robert King"/>
    <n v="0.96666666666666667"/>
    <n v="0"/>
    <n v="0"/>
    <n v="10.235294117647058"/>
    <s v="below target"/>
  </r>
  <r>
    <d v="2026-08-05T00:00:00"/>
    <s v="E106"/>
    <x v="6"/>
    <s v="1st"/>
    <s v="WO-260826"/>
    <s v="Control Module A"/>
    <x v="1"/>
    <x v="1"/>
    <n v="100"/>
    <n v="100"/>
    <n v="9"/>
    <n v="10"/>
    <n v="20"/>
    <n v="8"/>
    <s v="Robert King"/>
    <n v="1"/>
    <n v="0.09"/>
    <n v="0.1"/>
    <n v="12.5"/>
    <s v="met target"/>
  </r>
  <r>
    <d v="2026-08-11T00:00:00"/>
    <s v="E101"/>
    <x v="2"/>
    <s v="1st"/>
    <s v="WO-260827"/>
    <s v="Sensor Unit C"/>
    <x v="1"/>
    <x v="1"/>
    <n v="72"/>
    <n v="90"/>
    <n v="9"/>
    <n v="8"/>
    <n v="25"/>
    <n v="8"/>
    <s v="Jennifer Lee"/>
    <n v="0.8"/>
    <n v="0.125"/>
    <n v="0.1111111111111111"/>
    <n v="9"/>
    <s v="below target"/>
  </r>
  <r>
    <d v="2026-08-03T00:00:00"/>
    <s v="E103"/>
    <x v="3"/>
    <s v="1st"/>
    <s v="WO-260828"/>
    <s v="Sensor Unit C"/>
    <x v="2"/>
    <x v="2"/>
    <n v="102"/>
    <n v="90"/>
    <n v="1"/>
    <n v="2"/>
    <n v="40"/>
    <n v="9"/>
    <s v="Jennifer Lee"/>
    <n v="1.1333333333333333"/>
    <n v="9.8039215686274508E-3"/>
    <n v="1.9607843137254902E-2"/>
    <n v="11.333333333333334"/>
    <s v="met target"/>
  </r>
  <r>
    <d v="2026-08-10T00:00:00"/>
    <s v="E103"/>
    <x v="3"/>
    <s v="1st"/>
    <s v="WO-260829"/>
    <s v="Control Module B"/>
    <x v="2"/>
    <x v="2"/>
    <n v="87"/>
    <n v="100"/>
    <n v="3"/>
    <n v="4"/>
    <n v="11"/>
    <n v="7.5"/>
    <s v="Jennifer Lee"/>
    <n v="0.87"/>
    <n v="3.4482758620689655E-2"/>
    <n v="4.5977011494252873E-2"/>
    <n v="11.6"/>
    <s v="below target"/>
  </r>
  <r>
    <d v="2026-08-11T00:00:00"/>
    <s v="E107"/>
    <x v="5"/>
    <s v="1st"/>
    <s v="WO-260830"/>
    <s v="Control Module B"/>
    <x v="1"/>
    <x v="2"/>
    <n v="115"/>
    <n v="120"/>
    <n v="2"/>
    <n v="1"/>
    <n v="31"/>
    <n v="7.5"/>
    <s v="Jennifer Lee"/>
    <n v="0.95833333333333337"/>
    <n v="1.7391304347826087E-2"/>
    <n v="8.6956521739130436E-3"/>
    <n v="15.333333333333334"/>
    <s v="below target"/>
  </r>
  <r>
    <d v="2026-08-11T00:00:00"/>
    <s v="E103"/>
    <x v="3"/>
    <s v="1st"/>
    <s v="WO-260831"/>
    <s v="Control Module A"/>
    <x v="0"/>
    <x v="2"/>
    <n v="132"/>
    <n v="120"/>
    <n v="2"/>
    <n v="3"/>
    <n v="23"/>
    <n v="8"/>
    <s v="Jennifer Lee"/>
    <n v="1.1000000000000001"/>
    <n v="1.5151515151515152E-2"/>
    <n v="2.2727272727272728E-2"/>
    <n v="16.5"/>
    <s v="met target"/>
  </r>
  <r>
    <d v="2026-08-04T00:00:00"/>
    <s v="E102"/>
    <x v="4"/>
    <s v="1st"/>
    <s v="WO-260832"/>
    <s v="Control Module A"/>
    <x v="3"/>
    <x v="0"/>
    <n v="122"/>
    <n v="120"/>
    <n v="6"/>
    <n v="5"/>
    <n v="20"/>
    <n v="7.5"/>
    <s v="Jennifer Lee"/>
    <n v="1.0166666666666666"/>
    <n v="4.9180327868852458E-2"/>
    <n v="4.0983606557377046E-2"/>
    <n v="16.266666666666666"/>
    <s v="met target"/>
  </r>
  <r>
    <d v="2026-08-07T00:00:00"/>
    <s v="E103"/>
    <x v="3"/>
    <s v="1st"/>
    <s v="WO-260833"/>
    <s v="Sensor Unit C"/>
    <x v="3"/>
    <x v="0"/>
    <n v="94"/>
    <n v="110"/>
    <n v="0"/>
    <n v="1"/>
    <n v="37"/>
    <n v="8.5"/>
    <s v="Jennifer Lee"/>
    <n v="0.8545454545454545"/>
    <n v="0"/>
    <n v="1.0638297872340425E-2"/>
    <n v="11.058823529411764"/>
    <s v="below target"/>
  </r>
  <r>
    <d v="2026-08-13T00:00:00"/>
    <s v="E107"/>
    <x v="5"/>
    <s v="1st"/>
    <s v="WO-260834"/>
    <s v="Control Module B"/>
    <x v="3"/>
    <x v="2"/>
    <n v="88"/>
    <n v="110"/>
    <n v="3"/>
    <n v="3"/>
    <n v="27"/>
    <n v="7.5"/>
    <s v="Jennifer Lee"/>
    <n v="0.8"/>
    <n v="3.4090909090909088E-2"/>
    <n v="3.4090909090909088E-2"/>
    <n v="11.733333333333333"/>
    <s v="below target"/>
  </r>
  <r>
    <d v="2026-08-03T00:00:00"/>
    <s v="E108"/>
    <x v="0"/>
    <s v="1st"/>
    <s v="WO-260835"/>
    <s v="Control Module B"/>
    <x v="0"/>
    <x v="1"/>
    <n v="118"/>
    <n v="130"/>
    <n v="8"/>
    <n v="10"/>
    <n v="43"/>
    <n v="7.5"/>
    <s v="Robert King"/>
    <n v="0.90769230769230769"/>
    <n v="6.7796610169491525E-2"/>
    <n v="8.4745762711864403E-2"/>
    <n v="15.733333333333333"/>
    <s v="below target"/>
  </r>
  <r>
    <d v="2026-08-06T00:00:00"/>
    <s v="E105"/>
    <x v="7"/>
    <s v="1st"/>
    <s v="WO-260836"/>
    <s v="Sensor Unit C"/>
    <x v="0"/>
    <x v="0"/>
    <n v="121"/>
    <n v="130"/>
    <n v="3"/>
    <n v="2"/>
    <n v="3"/>
    <n v="8"/>
    <s v="Robert King"/>
    <n v="0.93076923076923079"/>
    <n v="2.4793388429752067E-2"/>
    <n v="1.6528925619834711E-2"/>
    <n v="15.125"/>
    <s v="below target"/>
  </r>
  <r>
    <d v="2026-08-12T00:00:00"/>
    <s v="E108"/>
    <x v="0"/>
    <s v="1st"/>
    <s v="WO-260837"/>
    <s v="Control Module A"/>
    <x v="1"/>
    <x v="1"/>
    <n v="126"/>
    <n v="120"/>
    <n v="10"/>
    <n v="10"/>
    <n v="19"/>
    <n v="8"/>
    <s v="Robert King"/>
    <n v="1.05"/>
    <n v="7.9365079365079361E-2"/>
    <n v="7.9365079365079361E-2"/>
    <n v="15.75"/>
    <s v="met target"/>
  </r>
  <r>
    <d v="2026-08-03T00:00:00"/>
    <s v="E107"/>
    <x v="5"/>
    <s v="1st"/>
    <s v="WO-260838"/>
    <s v="Control Module B"/>
    <x v="3"/>
    <x v="2"/>
    <n v="135"/>
    <n v="130"/>
    <n v="0"/>
    <n v="0"/>
    <n v="0"/>
    <n v="8"/>
    <s v="Jennifer Lee"/>
    <n v="1.0384615384615385"/>
    <n v="0"/>
    <n v="0"/>
    <n v="16.875"/>
    <s v="met target"/>
  </r>
  <r>
    <d v="2026-08-13T00:00:00"/>
    <s v="E105"/>
    <x v="7"/>
    <s v="1st"/>
    <s v="WO-260839"/>
    <s v="Sensor Unit C"/>
    <x v="0"/>
    <x v="1"/>
    <n v="107"/>
    <n v="90"/>
    <n v="4"/>
    <n v="4"/>
    <n v="1"/>
    <n v="8"/>
    <s v="Robert King"/>
    <n v="1.1888888888888889"/>
    <n v="3.7383177570093455E-2"/>
    <n v="3.7383177570093455E-2"/>
    <n v="13.375"/>
    <s v="met target"/>
  </r>
  <r>
    <d v="2026-08-06T00:00:00"/>
    <s v="E107"/>
    <x v="5"/>
    <s v="1st"/>
    <s v="WO-260840"/>
    <s v="Control Module B"/>
    <x v="0"/>
    <x v="1"/>
    <n v="109"/>
    <n v="110"/>
    <n v="9"/>
    <n v="9"/>
    <n v="24"/>
    <n v="8"/>
    <s v="Jennifer Lee"/>
    <n v="0.99090909090909096"/>
    <n v="8.2568807339449546E-2"/>
    <n v="8.2568807339449546E-2"/>
    <n v="13.625"/>
    <s v="below target"/>
  </r>
  <r>
    <d v="2026-08-03T00:00:00"/>
    <s v="E108"/>
    <x v="0"/>
    <s v="1st"/>
    <s v="WO-260841"/>
    <s v="Sensor Unit C"/>
    <x v="1"/>
    <x v="1"/>
    <n v="135"/>
    <n v="120"/>
    <n v="5"/>
    <n v="4"/>
    <n v="0"/>
    <n v="8"/>
    <s v="Robert King"/>
    <n v="1.125"/>
    <n v="3.7037037037037035E-2"/>
    <n v="2.9629629629629631E-2"/>
    <n v="16.875"/>
    <s v="met target"/>
  </r>
  <r>
    <d v="2026-08-05T00:00:00"/>
    <s v="E103"/>
    <x v="3"/>
    <s v="1st"/>
    <s v="WO-260842"/>
    <s v="Control Module B"/>
    <x v="3"/>
    <x v="1"/>
    <n v="126"/>
    <n v="130"/>
    <n v="3"/>
    <n v="4"/>
    <n v="12"/>
    <n v="8"/>
    <s v="Jennifer Lee"/>
    <n v="0.96923076923076923"/>
    <n v="2.3809523809523808E-2"/>
    <n v="3.1746031746031744E-2"/>
    <n v="15.75"/>
    <s v="below target"/>
  </r>
  <r>
    <d v="2026-08-12T00:00:00"/>
    <s v="E102"/>
    <x v="4"/>
    <s v="1st"/>
    <s v="WO-260843"/>
    <s v="Sensor Unit C"/>
    <x v="0"/>
    <x v="2"/>
    <n v="99"/>
    <n v="90"/>
    <n v="3"/>
    <n v="5"/>
    <n v="51"/>
    <n v="8"/>
    <s v="Jennifer Lee"/>
    <n v="1.1000000000000001"/>
    <n v="3.0303030303030304E-2"/>
    <n v="5.0505050505050504E-2"/>
    <n v="12.375"/>
    <s v="met target"/>
  </r>
  <r>
    <d v="2026-08-04T00:00:00"/>
    <s v="E106"/>
    <x v="6"/>
    <s v="1st"/>
    <s v="WO-260844"/>
    <s v="Sensor Unit C"/>
    <x v="2"/>
    <x v="1"/>
    <n v="112"/>
    <n v="110"/>
    <n v="2"/>
    <n v="2"/>
    <n v="0"/>
    <n v="8"/>
    <s v="Robert King"/>
    <n v="1.0181818181818181"/>
    <n v="1.7857142857142856E-2"/>
    <n v="1.7857142857142856E-2"/>
    <n v="14"/>
    <s v="met target"/>
  </r>
  <r>
    <d v="2026-08-04T00:00:00"/>
    <s v="E107"/>
    <x v="5"/>
    <s v="1st"/>
    <s v="WO-260845"/>
    <s v="Control Module B"/>
    <x v="0"/>
    <x v="0"/>
    <n v="136"/>
    <n v="120"/>
    <n v="9"/>
    <n v="8"/>
    <n v="18"/>
    <n v="8"/>
    <s v="Jennifer Lee"/>
    <n v="1.1333333333333333"/>
    <n v="6.6176470588235295E-2"/>
    <n v="5.8823529411764705E-2"/>
    <n v="17"/>
    <s v="met target"/>
  </r>
  <r>
    <d v="2026-08-03T00:00:00"/>
    <s v="E108"/>
    <x v="0"/>
    <s v="1st"/>
    <s v="WO-260846"/>
    <s v="Control Module A"/>
    <x v="3"/>
    <x v="2"/>
    <n v="90"/>
    <n v="90"/>
    <n v="3"/>
    <n v="2"/>
    <n v="18"/>
    <n v="8"/>
    <s v="Robert King"/>
    <n v="1"/>
    <n v="3.3333333333333333E-2"/>
    <n v="2.2222222222222223E-2"/>
    <n v="11.25"/>
    <s v="met target"/>
  </r>
  <r>
    <d v="2026-08-10T00:00:00"/>
    <s v="E107"/>
    <x v="5"/>
    <s v="1st"/>
    <s v="WO-260847"/>
    <s v="Control Module B"/>
    <x v="3"/>
    <x v="2"/>
    <n v="125"/>
    <n v="130"/>
    <n v="3"/>
    <n v="5"/>
    <n v="22"/>
    <n v="9"/>
    <s v="Jennifer Lee"/>
    <n v="0.96153846153846156"/>
    <n v="2.4E-2"/>
    <n v="0.04"/>
    <n v="13.888888888888889"/>
    <s v="below target"/>
  </r>
  <r>
    <d v="2026-08-03T00:00:00"/>
    <s v="E107"/>
    <x v="5"/>
    <s v="1st"/>
    <s v="WO-260848"/>
    <s v="Control Module B"/>
    <x v="2"/>
    <x v="1"/>
    <n v="99"/>
    <n v="100"/>
    <n v="7"/>
    <n v="6"/>
    <n v="9"/>
    <n v="8.5"/>
    <s v="Jennifer Lee"/>
    <n v="0.99"/>
    <n v="7.0707070707070704E-2"/>
    <n v="6.0606060606060608E-2"/>
    <n v="11.647058823529411"/>
    <s v="below target"/>
  </r>
  <r>
    <d v="2026-08-04T00:00:00"/>
    <s v="E108"/>
    <x v="0"/>
    <s v="1st"/>
    <s v="WO-260849"/>
    <s v="Control Module B"/>
    <x v="1"/>
    <x v="0"/>
    <n v="129"/>
    <n v="120"/>
    <n v="3"/>
    <n v="3"/>
    <n v="30"/>
    <n v="8.5"/>
    <s v="Robert King"/>
    <n v="1.075"/>
    <n v="2.3255813953488372E-2"/>
    <n v="2.3255813953488372E-2"/>
    <n v="15.176470588235293"/>
    <s v="met target"/>
  </r>
  <r>
    <d v="2026-08-03T00:00:00"/>
    <s v="E104"/>
    <x v="1"/>
    <s v="1st"/>
    <s v="WO-260850"/>
    <s v="Control Module A"/>
    <x v="0"/>
    <x v="2"/>
    <n v="139"/>
    <n v="130"/>
    <n v="1"/>
    <n v="1"/>
    <n v="14"/>
    <n v="8"/>
    <s v="Robert King"/>
    <n v="1.0692307692307692"/>
    <n v="7.1942446043165471E-3"/>
    <n v="7.1942446043165471E-3"/>
    <n v="17.375"/>
    <s v="met target"/>
  </r>
  <r>
    <d v="2026-08-04T00:00:00"/>
    <s v="E106"/>
    <x v="6"/>
    <s v="1st"/>
    <s v="WO-260851"/>
    <s v="Control Module A"/>
    <x v="1"/>
    <x v="2"/>
    <n v="103"/>
    <n v="100"/>
    <n v="4"/>
    <n v="4"/>
    <n v="17"/>
    <n v="7.5"/>
    <s v="Robert King"/>
    <n v="1.03"/>
    <n v="3.8834951456310676E-2"/>
    <n v="3.8834951456310676E-2"/>
    <n v="13.733333333333333"/>
    <s v="met target"/>
  </r>
  <r>
    <d v="2026-08-04T00:00:00"/>
    <s v="E106"/>
    <x v="6"/>
    <s v="1st"/>
    <s v="WO-260852"/>
    <s v="Control Module A"/>
    <x v="1"/>
    <x v="0"/>
    <n v="124"/>
    <n v="130"/>
    <n v="4"/>
    <n v="3"/>
    <n v="0"/>
    <n v="8"/>
    <s v="Robert King"/>
    <n v="0.9538461538461539"/>
    <n v="3.2258064516129031E-2"/>
    <n v="2.4193548387096774E-2"/>
    <n v="15.5"/>
    <s v="below target"/>
  </r>
  <r>
    <d v="2026-08-04T00:00:00"/>
    <s v="E101"/>
    <x v="2"/>
    <s v="1st"/>
    <s v="WO-260853"/>
    <s v="Control Module A"/>
    <x v="2"/>
    <x v="1"/>
    <n v="117"/>
    <n v="110"/>
    <n v="6"/>
    <n v="6"/>
    <n v="5"/>
    <n v="8"/>
    <s v="Jennifer Lee"/>
    <n v="1.0636363636363637"/>
    <n v="5.128205128205128E-2"/>
    <n v="5.128205128205128E-2"/>
    <n v="14.625"/>
    <s v="met target"/>
  </r>
  <r>
    <d v="2026-08-11T00:00:00"/>
    <s v="E105"/>
    <x v="7"/>
    <s v="1st"/>
    <s v="WO-260854"/>
    <s v="Sensor Unit C"/>
    <x v="3"/>
    <x v="0"/>
    <n v="116"/>
    <n v="120"/>
    <n v="1"/>
    <n v="0"/>
    <n v="4"/>
    <n v="7.5"/>
    <s v="Robert King"/>
    <n v="0.96666666666666667"/>
    <n v="8.6206896551724137E-3"/>
    <n v="0"/>
    <n v="15.466666666666667"/>
    <s v="below target"/>
  </r>
  <r>
    <d v="2026-08-07T00:00:00"/>
    <s v="E108"/>
    <x v="0"/>
    <s v="1st"/>
    <s v="WO-260855"/>
    <s v="Control Module A"/>
    <x v="0"/>
    <x v="0"/>
    <n v="139"/>
    <n v="130"/>
    <n v="6"/>
    <n v="6"/>
    <n v="17"/>
    <n v="8"/>
    <s v="Robert King"/>
    <n v="1.0692307692307692"/>
    <n v="4.3165467625899283E-2"/>
    <n v="4.3165467625899283E-2"/>
    <n v="17.375"/>
    <s v="met target"/>
  </r>
  <r>
    <d v="2026-08-03T00:00:00"/>
    <s v="E106"/>
    <x v="6"/>
    <s v="1st"/>
    <s v="WO-260856"/>
    <s v="Control Module B"/>
    <x v="2"/>
    <x v="0"/>
    <n v="119"/>
    <n v="130"/>
    <n v="6"/>
    <n v="8"/>
    <n v="17"/>
    <n v="8.5"/>
    <s v="Robert King"/>
    <n v="0.91538461538461535"/>
    <n v="5.0420168067226892E-2"/>
    <n v="6.7226890756302518E-2"/>
    <n v="14"/>
    <s v="below target"/>
  </r>
  <r>
    <d v="2026-08-06T00:00:00"/>
    <s v="E108"/>
    <x v="0"/>
    <s v="1st"/>
    <s v="WO-260857"/>
    <s v="Sensor Unit C"/>
    <x v="2"/>
    <x v="0"/>
    <n v="115"/>
    <n v="120"/>
    <n v="9"/>
    <n v="11"/>
    <n v="27"/>
    <n v="8.5"/>
    <s v="Robert King"/>
    <n v="0.95833333333333337"/>
    <n v="7.8260869565217397E-2"/>
    <n v="9.5652173913043481E-2"/>
    <n v="13.529411764705882"/>
    <s v="below target"/>
  </r>
  <r>
    <d v="2026-08-06T00:00:00"/>
    <s v="E103"/>
    <x v="3"/>
    <s v="1st"/>
    <s v="WO-260858"/>
    <s v="Control Module B"/>
    <x v="0"/>
    <x v="1"/>
    <n v="93"/>
    <n v="100"/>
    <n v="2"/>
    <n v="4"/>
    <n v="6"/>
    <n v="8"/>
    <s v="Jennifer Lee"/>
    <n v="0.93"/>
    <n v="2.1505376344086023E-2"/>
    <n v="4.3010752688172046E-2"/>
    <n v="11.625"/>
    <s v="below target"/>
  </r>
  <r>
    <d v="2026-08-05T00:00:00"/>
    <s v="E107"/>
    <x v="5"/>
    <s v="1st"/>
    <s v="WO-260859"/>
    <s v="Control Module B"/>
    <x v="3"/>
    <x v="1"/>
    <n v="99"/>
    <n v="100"/>
    <n v="7"/>
    <n v="7"/>
    <n v="31"/>
    <n v="9"/>
    <s v="Jennifer Lee"/>
    <n v="0.99"/>
    <n v="7.0707070707070704E-2"/>
    <n v="7.0707070707070704E-2"/>
    <n v="11"/>
    <s v="below target"/>
  </r>
  <r>
    <d v="2026-08-07T00:00:00"/>
    <s v="E104"/>
    <x v="1"/>
    <s v="1st"/>
    <s v="WO-260860"/>
    <s v="Sensor Unit C"/>
    <x v="0"/>
    <x v="2"/>
    <n v="112"/>
    <n v="110"/>
    <n v="3"/>
    <n v="5"/>
    <n v="40"/>
    <n v="8.5"/>
    <s v="Robert King"/>
    <n v="1.0181818181818181"/>
    <n v="2.6785714285714284E-2"/>
    <n v="4.4642857142857144E-2"/>
    <n v="13.176470588235293"/>
    <s v="met target"/>
  </r>
  <r>
    <d v="2026-08-14T00:00:00"/>
    <s v="E104"/>
    <x v="1"/>
    <s v="1st"/>
    <s v="WO-260861"/>
    <s v="Control Module B"/>
    <x v="3"/>
    <x v="0"/>
    <n v="82"/>
    <n v="100"/>
    <n v="6"/>
    <n v="7"/>
    <n v="22"/>
    <n v="8"/>
    <s v="Robert King"/>
    <n v="0.82"/>
    <n v="7.3170731707317069E-2"/>
    <n v="8.5365853658536592E-2"/>
    <n v="10.25"/>
    <s v="below target"/>
  </r>
  <r>
    <d v="2026-08-13T00:00:00"/>
    <s v="E107"/>
    <x v="5"/>
    <s v="1st"/>
    <s v="WO-260862"/>
    <s v="Sensor Unit C"/>
    <x v="3"/>
    <x v="0"/>
    <n v="86"/>
    <n v="90"/>
    <n v="7"/>
    <n v="7"/>
    <n v="17"/>
    <n v="8"/>
    <s v="Jennifer Lee"/>
    <n v="0.9555555555555556"/>
    <n v="8.1395348837209308E-2"/>
    <n v="8.1395348837209308E-2"/>
    <n v="10.75"/>
    <s v="below target"/>
  </r>
  <r>
    <d v="2026-08-10T00:00:00"/>
    <s v="E104"/>
    <x v="1"/>
    <s v="1st"/>
    <s v="WO-260863"/>
    <s v="Control Module A"/>
    <x v="0"/>
    <x v="0"/>
    <n v="127"/>
    <n v="130"/>
    <n v="4"/>
    <n v="4"/>
    <n v="0"/>
    <n v="9"/>
    <s v="Robert King"/>
    <n v="0.97692307692307689"/>
    <n v="3.1496062992125984E-2"/>
    <n v="3.1496062992125984E-2"/>
    <n v="14.111111111111111"/>
    <s v="below target"/>
  </r>
  <r>
    <d v="2026-08-10T00:00:00"/>
    <s v="E101"/>
    <x v="2"/>
    <s v="1st"/>
    <s v="WO-260864"/>
    <s v="Control Module B"/>
    <x v="1"/>
    <x v="2"/>
    <n v="98"/>
    <n v="120"/>
    <n v="7"/>
    <n v="7"/>
    <n v="12"/>
    <n v="9"/>
    <s v="Jennifer Lee"/>
    <n v="0.81666666666666665"/>
    <n v="7.1428571428571425E-2"/>
    <n v="7.1428571428571425E-2"/>
    <n v="10.888888888888889"/>
    <s v="below target"/>
  </r>
  <r>
    <d v="2026-08-05T00:00:00"/>
    <s v="E104"/>
    <x v="1"/>
    <s v="1st"/>
    <s v="WO-260865"/>
    <s v="Control Module A"/>
    <x v="1"/>
    <x v="1"/>
    <n v="95"/>
    <n v="120"/>
    <n v="9"/>
    <n v="10"/>
    <n v="23"/>
    <n v="8"/>
    <s v="Robert King"/>
    <n v="0.79166666666666663"/>
    <n v="9.4736842105263161E-2"/>
    <n v="0.10526315789473684"/>
    <n v="11.875"/>
    <s v="below target"/>
  </r>
  <r>
    <d v="2026-08-13T00:00:00"/>
    <s v="E104"/>
    <x v="1"/>
    <s v="1st"/>
    <s v="WO-260866"/>
    <s v="Sensor Unit C"/>
    <x v="0"/>
    <x v="1"/>
    <n v="136"/>
    <n v="120"/>
    <n v="4"/>
    <n v="4"/>
    <n v="3"/>
    <n v="8.5"/>
    <s v="Robert King"/>
    <n v="1.1333333333333333"/>
    <n v="2.9411764705882353E-2"/>
    <n v="2.9411764705882353E-2"/>
    <n v="16"/>
    <s v="met target"/>
  </r>
  <r>
    <d v="2026-08-07T00:00:00"/>
    <s v="E104"/>
    <x v="1"/>
    <s v="1st"/>
    <s v="WO-260867"/>
    <s v="Control Module B"/>
    <x v="1"/>
    <x v="1"/>
    <n v="65"/>
    <n v="100"/>
    <n v="7"/>
    <n v="6"/>
    <n v="35"/>
    <n v="8.5"/>
    <s v="Robert King"/>
    <n v="0.65"/>
    <n v="0.1076923076923077"/>
    <n v="9.2307692307692313E-2"/>
    <n v="7.6470588235294121"/>
    <s v="below target"/>
  </r>
  <r>
    <d v="2026-08-10T00:00:00"/>
    <s v="E107"/>
    <x v="5"/>
    <s v="1st"/>
    <s v="WO-260868"/>
    <s v="Control Module A"/>
    <x v="3"/>
    <x v="1"/>
    <n v="112"/>
    <n v="130"/>
    <n v="5"/>
    <n v="5"/>
    <n v="9"/>
    <n v="8.5"/>
    <s v="Jennifer Lee"/>
    <n v="0.86153846153846159"/>
    <n v="4.4642857142857144E-2"/>
    <n v="4.4642857142857144E-2"/>
    <n v="13.176470588235293"/>
    <s v="below target"/>
  </r>
  <r>
    <d v="2026-08-14T00:00:00"/>
    <s v="E107"/>
    <x v="5"/>
    <s v="1st"/>
    <s v="WO-260869"/>
    <s v="Sensor Unit C"/>
    <x v="0"/>
    <x v="0"/>
    <n v="86"/>
    <n v="100"/>
    <n v="8"/>
    <n v="8"/>
    <n v="13"/>
    <n v="7.5"/>
    <s v="Jennifer Lee"/>
    <n v="0.86"/>
    <n v="9.3023255813953487E-2"/>
    <n v="9.3023255813953487E-2"/>
    <n v="11.466666666666667"/>
    <s v="below target"/>
  </r>
  <r>
    <d v="2026-08-13T00:00:00"/>
    <s v="E106"/>
    <x v="6"/>
    <s v="1st"/>
    <s v="WO-260870"/>
    <s v="Control Module A"/>
    <x v="2"/>
    <x v="1"/>
    <n v="121"/>
    <n v="120"/>
    <n v="10"/>
    <n v="12"/>
    <n v="35"/>
    <n v="7.5"/>
    <s v="Robert King"/>
    <n v="1.0083333333333333"/>
    <n v="8.2644628099173556E-2"/>
    <n v="9.9173553719008267E-2"/>
    <n v="16.133333333333333"/>
    <s v="met target"/>
  </r>
  <r>
    <d v="2026-08-12T00:00:00"/>
    <s v="E103"/>
    <x v="3"/>
    <s v="1st"/>
    <s v="WO-260871"/>
    <s v="Sensor Unit C"/>
    <x v="2"/>
    <x v="2"/>
    <n v="110"/>
    <n v="120"/>
    <n v="4"/>
    <n v="6"/>
    <n v="24"/>
    <n v="8"/>
    <s v="Jennifer Lee"/>
    <n v="0.91666666666666663"/>
    <n v="3.6363636363636362E-2"/>
    <n v="5.4545454545454543E-2"/>
    <n v="13.75"/>
    <s v="below target"/>
  </r>
  <r>
    <d v="2026-08-10T00:00:00"/>
    <s v="E101"/>
    <x v="2"/>
    <s v="1st"/>
    <s v="WO-260872"/>
    <s v="Control Module A"/>
    <x v="2"/>
    <x v="0"/>
    <n v="136"/>
    <n v="130"/>
    <n v="0"/>
    <n v="1"/>
    <n v="23"/>
    <n v="7.5"/>
    <s v="Jennifer Lee"/>
    <n v="1.0461538461538462"/>
    <n v="0"/>
    <n v="7.3529411764705881E-3"/>
    <n v="18.133333333333333"/>
    <s v="met target"/>
  </r>
  <r>
    <d v="2026-08-05T00:00:00"/>
    <s v="E101"/>
    <x v="2"/>
    <s v="1st"/>
    <s v="WO-260873"/>
    <s v="Control Module B"/>
    <x v="0"/>
    <x v="1"/>
    <n v="107"/>
    <n v="130"/>
    <n v="7"/>
    <n v="9"/>
    <n v="20"/>
    <n v="7.5"/>
    <s v="Jennifer Lee"/>
    <n v="0.82307692307692304"/>
    <n v="6.5420560747663545E-2"/>
    <n v="8.4112149532710276E-2"/>
    <n v="14.266666666666667"/>
    <s v="below target"/>
  </r>
  <r>
    <d v="2026-08-03T00:00:00"/>
    <s v="E101"/>
    <x v="2"/>
    <s v="1st"/>
    <s v="WO-260874"/>
    <s v="Control Module A"/>
    <x v="3"/>
    <x v="0"/>
    <n v="139"/>
    <n v="130"/>
    <n v="3"/>
    <n v="5"/>
    <n v="15"/>
    <n v="9"/>
    <s v="Jennifer Lee"/>
    <n v="1.0692307692307692"/>
    <n v="2.1582733812949641E-2"/>
    <n v="3.5971223021582732E-2"/>
    <n v="15.444444444444445"/>
    <s v="met target"/>
  </r>
  <r>
    <d v="2026-08-11T00:00:00"/>
    <s v="E102"/>
    <x v="4"/>
    <s v="1st"/>
    <s v="WO-260875"/>
    <s v="Sensor Unit C"/>
    <x v="1"/>
    <x v="1"/>
    <n v="108"/>
    <n v="110"/>
    <n v="10"/>
    <n v="12"/>
    <n v="19"/>
    <n v="8"/>
    <s v="Jennifer Lee"/>
    <n v="0.98181818181818181"/>
    <n v="9.2592592592592587E-2"/>
    <n v="0.1111111111111111"/>
    <n v="13.5"/>
    <s v="below target"/>
  </r>
  <r>
    <d v="2026-08-04T00:00:00"/>
    <s v="E108"/>
    <x v="0"/>
    <s v="1st"/>
    <s v="WO-260876"/>
    <s v="Control Module B"/>
    <x v="3"/>
    <x v="1"/>
    <n v="131"/>
    <n v="130"/>
    <n v="6"/>
    <n v="6"/>
    <n v="0"/>
    <n v="8.5"/>
    <s v="Robert King"/>
    <n v="1.0076923076923077"/>
    <n v="4.5801526717557252E-2"/>
    <n v="4.5801526717557252E-2"/>
    <n v="15.411764705882353"/>
    <s v="met target"/>
  </r>
  <r>
    <d v="2026-08-14T00:00:00"/>
    <s v="E101"/>
    <x v="2"/>
    <s v="1st"/>
    <s v="WO-260877"/>
    <s v="Control Module A"/>
    <x v="3"/>
    <x v="0"/>
    <n v="111"/>
    <n v="110"/>
    <n v="0"/>
    <n v="0"/>
    <n v="22"/>
    <n v="8"/>
    <s v="Jennifer Lee"/>
    <n v="1.009090909090909"/>
    <n v="0"/>
    <n v="0"/>
    <n v="13.875"/>
    <s v="met target"/>
  </r>
  <r>
    <d v="2026-08-05T00:00:00"/>
    <s v="E106"/>
    <x v="6"/>
    <s v="1st"/>
    <s v="WO-260878"/>
    <s v="Control Module A"/>
    <x v="2"/>
    <x v="0"/>
    <n v="95"/>
    <n v="100"/>
    <n v="3"/>
    <n v="2"/>
    <n v="12"/>
    <n v="7.5"/>
    <s v="Robert King"/>
    <n v="0.95"/>
    <n v="3.1578947368421054E-2"/>
    <n v="2.1052631578947368E-2"/>
    <n v="12.666666666666666"/>
    <s v="below target"/>
  </r>
  <r>
    <d v="2026-08-05T00:00:00"/>
    <s v="E104"/>
    <x v="1"/>
    <s v="1st"/>
    <s v="WO-260879"/>
    <s v="Control Module B"/>
    <x v="1"/>
    <x v="0"/>
    <n v="91"/>
    <n v="100"/>
    <n v="6"/>
    <n v="8"/>
    <n v="33"/>
    <n v="9"/>
    <s v="Robert King"/>
    <n v="0.91"/>
    <n v="6.5934065934065936E-2"/>
    <n v="8.7912087912087919E-2"/>
    <n v="10.111111111111111"/>
    <s v="below target"/>
  </r>
  <r>
    <d v="2026-08-04T00:00:00"/>
    <s v="E102"/>
    <x v="4"/>
    <s v="1st"/>
    <s v="WO-260880"/>
    <s v="Sensor Unit C"/>
    <x v="3"/>
    <x v="2"/>
    <n v="115"/>
    <n v="130"/>
    <n v="2"/>
    <n v="2"/>
    <n v="12"/>
    <n v="9"/>
    <s v="Jennifer Lee"/>
    <n v="0.88461538461538458"/>
    <n v="1.7391304347826087E-2"/>
    <n v="1.7391304347826087E-2"/>
    <n v="12.777777777777779"/>
    <s v="below target"/>
  </r>
  <r>
    <d v="2026-08-10T00:00:00"/>
    <s v="E102"/>
    <x v="4"/>
    <s v="1st"/>
    <s v="WO-260881"/>
    <s v="Control Module B"/>
    <x v="0"/>
    <x v="0"/>
    <n v="77"/>
    <n v="90"/>
    <n v="0"/>
    <n v="0"/>
    <n v="8"/>
    <n v="7.5"/>
    <s v="Jennifer Lee"/>
    <n v="0.85555555555555551"/>
    <n v="0"/>
    <n v="0"/>
    <n v="10.266666666666667"/>
    <s v="below target"/>
  </r>
  <r>
    <d v="2026-08-13T00:00:00"/>
    <s v="E102"/>
    <x v="4"/>
    <s v="1st"/>
    <s v="WO-260882"/>
    <s v="Control Module A"/>
    <x v="1"/>
    <x v="0"/>
    <n v="125"/>
    <n v="130"/>
    <n v="3"/>
    <n v="3"/>
    <n v="14"/>
    <n v="8"/>
    <s v="Jennifer Lee"/>
    <n v="0.96153846153846156"/>
    <n v="2.4E-2"/>
    <n v="2.4E-2"/>
    <n v="15.625"/>
    <s v="below target"/>
  </r>
  <r>
    <d v="2026-08-05T00:00:00"/>
    <s v="E103"/>
    <x v="3"/>
    <s v="1st"/>
    <s v="WO-260883"/>
    <s v="Control Module B"/>
    <x v="3"/>
    <x v="1"/>
    <n v="101"/>
    <n v="100"/>
    <n v="3"/>
    <n v="3"/>
    <n v="4"/>
    <n v="7.5"/>
    <s v="Jennifer Lee"/>
    <n v="1.01"/>
    <n v="2.9702970297029702E-2"/>
    <n v="2.9702970297029702E-2"/>
    <n v="13.466666666666667"/>
    <s v="met target"/>
  </r>
  <r>
    <d v="2026-08-11T00:00:00"/>
    <s v="E108"/>
    <x v="0"/>
    <s v="1st"/>
    <s v="WO-260884"/>
    <s v="Control Module A"/>
    <x v="2"/>
    <x v="2"/>
    <n v="105"/>
    <n v="120"/>
    <n v="5"/>
    <n v="6"/>
    <n v="38"/>
    <n v="8"/>
    <s v="Robert King"/>
    <n v="0.875"/>
    <n v="4.7619047619047616E-2"/>
    <n v="5.7142857142857141E-2"/>
    <n v="13.125"/>
    <s v="below target"/>
  </r>
  <r>
    <d v="2026-08-12T00:00:00"/>
    <s v="E104"/>
    <x v="1"/>
    <s v="1st"/>
    <s v="WO-260885"/>
    <s v="Control Module B"/>
    <x v="0"/>
    <x v="2"/>
    <n v="74"/>
    <n v="100"/>
    <n v="0"/>
    <n v="0"/>
    <n v="18"/>
    <n v="8"/>
    <s v="Robert King"/>
    <n v="0.74"/>
    <n v="0"/>
    <n v="0"/>
    <n v="9.25"/>
    <s v="below target"/>
  </r>
  <r>
    <d v="2026-08-07T00:00:00"/>
    <s v="E107"/>
    <x v="5"/>
    <s v="1st"/>
    <s v="WO-260886"/>
    <s v="Sensor Unit C"/>
    <x v="3"/>
    <x v="0"/>
    <n v="120"/>
    <n v="120"/>
    <n v="2"/>
    <n v="3"/>
    <n v="46"/>
    <n v="9"/>
    <s v="Jennifer Lee"/>
    <n v="1"/>
    <n v="1.6666666666666666E-2"/>
    <n v="2.5000000000000001E-2"/>
    <n v="13.333333333333334"/>
    <s v="met target"/>
  </r>
  <r>
    <d v="2026-08-04T00:00:00"/>
    <s v="E101"/>
    <x v="2"/>
    <s v="1st"/>
    <s v="WO-260887"/>
    <s v="Control Module B"/>
    <x v="2"/>
    <x v="2"/>
    <n v="127"/>
    <n v="130"/>
    <n v="1"/>
    <n v="1"/>
    <n v="24"/>
    <n v="7.5"/>
    <s v="Jennifer Lee"/>
    <n v="0.97692307692307689"/>
    <n v="7.874015748031496E-3"/>
    <n v="7.874015748031496E-3"/>
    <n v="16.933333333333334"/>
    <s v="below target"/>
  </r>
  <r>
    <d v="2026-08-03T00:00:00"/>
    <s v="E108"/>
    <x v="0"/>
    <s v="1st"/>
    <s v="WO-260888"/>
    <s v="Control Module B"/>
    <x v="0"/>
    <x v="1"/>
    <n v="74"/>
    <n v="90"/>
    <n v="9"/>
    <n v="9"/>
    <n v="25"/>
    <n v="8"/>
    <s v="Robert King"/>
    <n v="0.82222222222222219"/>
    <n v="0.12162162162162163"/>
    <n v="0.12162162162162163"/>
    <n v="9.25"/>
    <s v="below target"/>
  </r>
  <r>
    <d v="2026-08-14T00:00:00"/>
    <s v="E104"/>
    <x v="1"/>
    <s v="1st"/>
    <s v="WO-260889"/>
    <s v="Sensor Unit C"/>
    <x v="3"/>
    <x v="2"/>
    <n v="118"/>
    <n v="110"/>
    <n v="4"/>
    <n v="6"/>
    <n v="13"/>
    <n v="8"/>
    <s v="Robert King"/>
    <n v="1.0727272727272728"/>
    <n v="3.3898305084745763E-2"/>
    <n v="5.0847457627118647E-2"/>
    <n v="14.75"/>
    <s v="met target"/>
  </r>
  <r>
    <d v="2026-08-05T00:00:00"/>
    <s v="E107"/>
    <x v="5"/>
    <s v="1st"/>
    <s v="WO-260890"/>
    <s v="Sensor Unit C"/>
    <x v="1"/>
    <x v="0"/>
    <n v="135"/>
    <n v="120"/>
    <n v="0"/>
    <n v="2"/>
    <n v="14"/>
    <n v="9"/>
    <s v="Jennifer Lee"/>
    <n v="1.125"/>
    <n v="0"/>
    <n v="1.4814814814814815E-2"/>
    <n v="15"/>
    <s v="met tar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797764-CFE6-4A4C-8A99-E6766FAFE3C1}" name="PivotTable2" cacheId="1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D3:H7" firstHeaderRow="0" firstDataRow="1" firstDataCol="1"/>
  <pivotFields count="2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dataField="1" compact="0" outline="0" showAll="0"/>
    <pivotField dataField="1" compact="0" outline="0" showAll="0"/>
    <pivotField compact="0" outline="0" showAll="0"/>
    <pivotField dataField="1" compact="0" outline="0" showAll="0"/>
    <pivotField dataField="1" compact="0" outline="0" showAll="0"/>
    <pivotField compact="0" outline="0" showAll="0"/>
    <pivotField compact="0" outline="0" showAll="0"/>
    <pivotField compact="0" numFmtId="10" outline="0" showAll="0"/>
    <pivotField compact="0" numFmtId="10" outline="0" showAll="0"/>
    <pivotField compact="0" numFmtId="10" outline="0" showAll="0"/>
    <pivotField compact="0" numFmtId="2" outline="0" showAll="0"/>
    <pivotField compact="0" outline="0" showAll="0"/>
  </pivotFields>
  <rowFields count="1">
    <field x="7"/>
  </rowFields>
  <rowItems count="4">
    <i>
      <x/>
    </i>
    <i>
      <x v="1"/>
    </i>
    <i>
      <x v="2"/>
    </i>
    <i t="grand">
      <x/>
    </i>
  </rowItems>
  <colFields count="1">
    <field x="-2"/>
  </colFields>
  <colItems count="4">
    <i>
      <x/>
    </i>
    <i i="1">
      <x v="1"/>
    </i>
    <i i="2">
      <x v="2"/>
    </i>
    <i i="3">
      <x v="3"/>
    </i>
  </colItems>
  <dataFields count="4">
    <dataField name="Sum of Units Produced" fld="8" baseField="0" baseItem="0"/>
    <dataField name="Sum of Rework Units" fld="11" baseField="0" baseItem="0"/>
    <dataField name="Sum of Target Units" fld="9" baseField="0" baseItem="0"/>
    <dataField name="Sum of Downtime Minutes" fld="12" baseField="0" baseItem="0"/>
  </dataFields>
  <formats count="1">
    <format dxfId="23">
      <pivotArea outline="0" fieldPosition="0">
        <references count="2">
          <reference field="4294967294" count="1" selected="0">
            <x v="3"/>
          </reference>
          <reference field="7" count="1" selected="0">
            <x v="0"/>
          </reference>
        </references>
      </pivotArea>
    </format>
  </formats>
  <chartFormats count="36">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7"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2"/>
          </reference>
        </references>
      </pivotArea>
    </chartFormat>
    <chartFormat chart="6" format="7" series="1">
      <pivotArea type="data" outline="0" fieldPosition="0">
        <references count="1">
          <reference field="4294967294"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2"/>
          </reference>
        </references>
      </pivotArea>
    </chartFormat>
    <chartFormat chart="9" format="7" series="1">
      <pivotArea type="data" outline="0" fieldPosition="0">
        <references count="1">
          <reference field="4294967294"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2"/>
          </reference>
        </references>
      </pivotArea>
    </chartFormat>
    <chartFormat chart="10" format="11" series="1">
      <pivotArea type="data" outline="0" fieldPosition="0">
        <references count="1">
          <reference field="4294967294" count="1" selected="0">
            <x v="3"/>
          </reference>
        </references>
      </pivotArea>
    </chartFormat>
    <chartFormat chart="11" format="20" series="1">
      <pivotArea type="data" outline="0" fieldPosition="0">
        <references count="1">
          <reference field="4294967294" count="1" selected="0">
            <x v="0"/>
          </reference>
        </references>
      </pivotArea>
    </chartFormat>
    <chartFormat chart="11" format="21" series="1">
      <pivotArea type="data" outline="0" fieldPosition="0">
        <references count="1">
          <reference field="4294967294" count="1" selected="0">
            <x v="1"/>
          </reference>
        </references>
      </pivotArea>
    </chartFormat>
    <chartFormat chart="11" format="22" series="1">
      <pivotArea type="data" outline="0" fieldPosition="0">
        <references count="1">
          <reference field="4294967294" count="1" selected="0">
            <x v="2"/>
          </reference>
        </references>
      </pivotArea>
    </chartFormat>
    <chartFormat chart="11" format="23" series="1">
      <pivotArea type="data" outline="0" fieldPosition="0">
        <references count="1">
          <reference field="4294967294" count="1" selected="0">
            <x v="3"/>
          </reference>
        </references>
      </pivotArea>
    </chartFormat>
    <chartFormat chart="12" format="24" series="1">
      <pivotArea type="data" outline="0" fieldPosition="0">
        <references count="1">
          <reference field="4294967294" count="1" selected="0">
            <x v="0"/>
          </reference>
        </references>
      </pivotArea>
    </chartFormat>
    <chartFormat chart="12" format="25" series="1">
      <pivotArea type="data" outline="0" fieldPosition="0">
        <references count="1">
          <reference field="4294967294" count="1" selected="0">
            <x v="1"/>
          </reference>
        </references>
      </pivotArea>
    </chartFormat>
    <chartFormat chart="12" format="26" series="1">
      <pivotArea type="data" outline="0" fieldPosition="0">
        <references count="1">
          <reference field="4294967294" count="1" selected="0">
            <x v="2"/>
          </reference>
        </references>
      </pivotArea>
    </chartFormat>
    <chartFormat chart="12" format="27" series="1">
      <pivotArea type="data" outline="0" fieldPosition="0">
        <references count="1">
          <reference field="429496729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2EFD65-3D3C-4FEF-A962-1E6214D85810}" name="PivotTable4" cacheId="1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P12" firstHeaderRow="0" firstDataRow="1" firstDataCol="1"/>
  <pivotFields count="20">
    <pivotField compact="0" numFmtId="14" outline="0" showAll="0"/>
    <pivotField compact="0" outline="0" showAll="0"/>
    <pivotField axis="axisRow" compact="0" outline="0" showAll="0">
      <items count="9">
        <item x="2"/>
        <item x="5"/>
        <item x="3"/>
        <item x="0"/>
        <item x="6"/>
        <item x="1"/>
        <item x="4"/>
        <item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numFmtId="10" outline="0" showAll="0"/>
    <pivotField compact="0" numFmtId="10" outline="0" showAll="0"/>
    <pivotField compact="0" numFmtId="10" outline="0" showAll="0"/>
    <pivotField compact="0" numFmtId="2" outline="0" showAll="0"/>
    <pivotField compact="0" outline="0" showAll="0"/>
  </pivotFields>
  <rowFields count="1">
    <field x="2"/>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Units Produced" fld="8" baseField="0" baseItem="0"/>
    <dataField name="Sum of Target Units" fld="9" baseField="0" baseItem="0"/>
    <dataField name="Sum of Defective Units" fld="10" baseField="0" baseItem="0"/>
    <dataField name="Sum of Rework Units" fld="11" baseField="0" baseItem="0"/>
    <dataField name="Sum of Downtime Minutes" fld="12" baseField="0" baseItem="0"/>
    <dataField name="Sum of Hours Worked" fld="1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84B361-A0F7-4BF4-94E2-21CD07E64A74}" name="PivotTable3" cacheId="1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6:I21" firstHeaderRow="0" firstDataRow="1" firstDataCol="1"/>
  <pivotFields count="2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3"/>
        <item x="0"/>
        <item t="default"/>
      </items>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numFmtId="10" outline="0" showAll="0"/>
    <pivotField compact="0" numFmtId="10" outline="0" showAll="0"/>
    <pivotField compact="0" numFmtId="10" outline="0" showAll="0"/>
    <pivotField compact="0" numFmtId="2" outline="0" showAll="0"/>
    <pivotField compact="0" outline="0" showAll="0"/>
  </pivotFields>
  <rowFields count="1">
    <field x="6"/>
  </rowFields>
  <rowItems count="5">
    <i>
      <x/>
    </i>
    <i>
      <x v="1"/>
    </i>
    <i>
      <x v="2"/>
    </i>
    <i>
      <x v="3"/>
    </i>
    <i t="grand">
      <x/>
    </i>
  </rowItems>
  <colFields count="1">
    <field x="-2"/>
  </colFields>
  <colItems count="5">
    <i>
      <x/>
    </i>
    <i i="1">
      <x v="1"/>
    </i>
    <i i="2">
      <x v="2"/>
    </i>
    <i i="3">
      <x v="3"/>
    </i>
    <i i="4">
      <x v="4"/>
    </i>
  </colItems>
  <dataFields count="5">
    <dataField name="Sum of Units Produced" fld="8" baseField="0" baseItem="0"/>
    <dataField name="Sum of Target Units" fld="9" baseField="0" baseItem="0"/>
    <dataField name="Sum of Defective Units" fld="10" baseField="0" baseItem="0"/>
    <dataField name="Sum of Rework Units" fld="11" baseField="0" baseItem="0"/>
    <dataField name="Sum of Downtime Minutes" fld="1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A810DD-6AAA-4178-9D2E-5EB5E42B40E1}" name="Table2" displayName="Table2" ref="A3:T37" totalsRowShown="0">
  <autoFilter ref="A3:T37" xr:uid="{0BA810DD-6AAA-4178-9D2E-5EB5E42B40E1}"/>
  <tableColumns count="20">
    <tableColumn id="1" xr3:uid="{A53DEF6D-C633-4A8A-8D60-BDA2381E914F}" name="Date" dataDxfId="22"/>
    <tableColumn id="2" xr3:uid="{C8AED4DC-9849-4E9B-A5B8-7397E897A6A4}" name="Employee ID"/>
    <tableColumn id="3" xr3:uid="{687D29B9-8A86-48CB-992D-BC3CA678188A}" name="Employee Name"/>
    <tableColumn id="4" xr3:uid="{A8F8D041-7BB4-4D6F-A808-C771A394270C}" name="Shift"/>
    <tableColumn id="5" xr3:uid="{86FB41C9-EE1A-4B11-88AB-F8194F701914}" name="Work Order"/>
    <tableColumn id="6" xr3:uid="{8204EE10-7497-4A67-B148-3B0B357E9AFD}" name="Product"/>
    <tableColumn id="7" xr3:uid="{F5232FFB-399A-43BC-8E1D-05D0B3280179}" name="Operation"/>
    <tableColumn id="8" xr3:uid="{9BA320DC-0109-4B4C-ABA7-547ADD0DA529}" name="Production Line"/>
    <tableColumn id="9" xr3:uid="{061AE04B-087F-435A-9365-178AB65602B9}" name="Units Produced"/>
    <tableColumn id="10" xr3:uid="{F9908ABA-5536-42D6-AC86-C08616AC8CB0}" name="Target Units"/>
    <tableColumn id="11" xr3:uid="{D55331BF-63C5-4053-91DB-D96F47315C14}" name="Defective Units"/>
    <tableColumn id="12" xr3:uid="{E467C69B-9013-4D6B-886E-5F556CE7AC1E}" name="Rework Units"/>
    <tableColumn id="13" xr3:uid="{A3A78790-E9FB-48C2-BE63-D7FC24210A31}" name="Downtime Minutes"/>
    <tableColumn id="14" xr3:uid="{45DA1788-6198-4A96-9A75-C75AB1E12D06}" name="Hours Worked"/>
    <tableColumn id="15" xr3:uid="{911EED34-49EE-470E-902D-606D944C37D5}" name="Supervisor"/>
    <tableColumn id="16" xr3:uid="{CF5369CD-CC39-405A-B21C-A74B507D6101}" name="Productivity %"/>
    <tableColumn id="17" xr3:uid="{0FFD0CD4-A2E5-4874-AE92-539B2FE8BD96}" name="Defect Rate"/>
    <tableColumn id="18" xr3:uid="{C38EE62F-D316-43E7-A534-890EB9C77F12}" name="Rework Rate"/>
    <tableColumn id="19" xr3:uid="{FE8E59EC-9145-4A86-8C1C-A1973AE4076D}" name="Units per Labor Hour"/>
    <tableColumn id="20" xr3:uid="{89EF1CE2-3E27-4258-9D0E-42E61FD9083F}" name="Target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33BADA-1E8D-4EED-9B6A-79ACA8B6E4D3}" name="Table1" displayName="Table1" ref="A1:T91" totalsRowShown="0" dataDxfId="21" tableBorderDxfId="20">
  <autoFilter ref="A1:T91" xr:uid="{0033BADA-1E8D-4EED-9B6A-79ACA8B6E4D3}"/>
  <tableColumns count="20">
    <tableColumn id="1" xr3:uid="{D8F688AE-A06C-4DA8-833F-FC0F0C53DB45}" name="Date" dataDxfId="19"/>
    <tableColumn id="2" xr3:uid="{8552C89D-DE6A-49C8-8EAA-D80F78FCB257}" name="Employee ID" dataDxfId="18"/>
    <tableColumn id="3" xr3:uid="{C1F3A3F6-10CE-4B7E-9982-A4A1BCBE5994}" name="Employee Name" dataDxfId="17"/>
    <tableColumn id="4" xr3:uid="{F3702671-8351-4044-857B-3CAD4604065D}" name="Shift" dataDxfId="16"/>
    <tableColumn id="5" xr3:uid="{D038F47C-246C-46FF-BEFB-31223E5DA8BF}" name="Work Order" dataDxfId="15"/>
    <tableColumn id="6" xr3:uid="{D197CDF5-32C2-4323-86C0-DCDB113FFDA1}" name="Product" dataDxfId="14"/>
    <tableColumn id="7" xr3:uid="{5A5E940C-F795-4721-82A4-036ECB2A1CE9}" name="Operation" dataDxfId="13"/>
    <tableColumn id="8" xr3:uid="{62690BD1-AE7B-4184-85EC-31BE69CC3EF2}" name="Production Line" dataDxfId="12"/>
    <tableColumn id="9" xr3:uid="{D2484B69-CEF3-4E7C-A2E7-0BF7A4A09A8E}" name="Units Produced" dataDxfId="11"/>
    <tableColumn id="10" xr3:uid="{ECFB23E0-0B0F-4045-9CA8-5C92C585DB3D}" name="Target Units" dataDxfId="10"/>
    <tableColumn id="11" xr3:uid="{228917C3-3BCB-4BFC-B76B-C636C5BF1875}" name="Defective Units" dataDxfId="9"/>
    <tableColumn id="12" xr3:uid="{5CC7BF54-1DFD-4A0D-ABEB-4892DD398B3D}" name="Rework Units" dataDxfId="8"/>
    <tableColumn id="13" xr3:uid="{D4EF6C8E-89BC-45AC-80D7-620784C5EAE1}" name="Downtime Minutes" dataDxfId="7"/>
    <tableColumn id="14" xr3:uid="{737E5DBA-D776-4760-AC96-C0083D95E79F}" name="Hours Worked" dataDxfId="6"/>
    <tableColumn id="15" xr3:uid="{7BECE6DB-F2B3-4C51-90D5-7F4CCA19B4CF}" name="Supervisor" dataDxfId="5"/>
    <tableColumn id="16" xr3:uid="{FE815AC5-7284-4B1E-9C1E-8FDAFEF4F502}" name="Productivity %" dataDxfId="4">
      <calculatedColumnFormula>I2/J2</calculatedColumnFormula>
    </tableColumn>
    <tableColumn id="17" xr3:uid="{BF7E7F52-F685-4045-91A1-F4C32697C6F9}" name="Defect Rate" dataDxfId="3">
      <calculatedColumnFormula>K2/I2</calculatedColumnFormula>
    </tableColumn>
    <tableColumn id="18" xr3:uid="{F20E8C8E-BDBB-4BF4-A006-3FDE23E3DB26}" name="Rework Rate" dataDxfId="2">
      <calculatedColumnFormula>L2/I2</calculatedColumnFormula>
    </tableColumn>
    <tableColumn id="19" xr3:uid="{F705C907-CE64-49BE-988D-689CBF7CC80D}" name="Units per Labor Hour" dataDxfId="1">
      <calculatedColumnFormula>I2/N2</calculatedColumnFormula>
    </tableColumn>
    <tableColumn id="20" xr3:uid="{50E8618C-4F14-4D48-8764-0DF2737D0C3D}" name="Target Status" dataDxfId="0">
      <calculatedColumnFormula>IF(I2&lt;J2,"below target","met target")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946B2-9C59-4BDC-BC34-79BEBDE16A86}">
  <dimension ref="A1:T37"/>
  <sheetViews>
    <sheetView workbookViewId="0"/>
  </sheetViews>
  <sheetFormatPr defaultRowHeight="15"/>
  <cols>
    <col min="1" max="1" width="10.42578125" bestFit="1" customWidth="1"/>
    <col min="2" max="2" width="14.5703125" bestFit="1" customWidth="1"/>
    <col min="3" max="3" width="18.140625" bestFit="1" customWidth="1"/>
    <col min="5" max="5" width="14" bestFit="1" customWidth="1"/>
    <col min="6" max="6" width="16.7109375" bestFit="1" customWidth="1"/>
    <col min="7" max="7" width="12.42578125" bestFit="1" customWidth="1"/>
    <col min="8" max="8" width="17.5703125" bestFit="1" customWidth="1"/>
    <col min="9" max="9" width="17.140625" bestFit="1" customWidth="1"/>
    <col min="10" max="10" width="14.28515625" bestFit="1" customWidth="1"/>
    <col min="11" max="11" width="17.140625" bestFit="1" customWidth="1"/>
    <col min="12" max="12" width="15.5703125" bestFit="1" customWidth="1"/>
    <col min="13" max="13" width="20.85546875" bestFit="1" customWidth="1"/>
    <col min="14" max="14" width="16.42578125" bestFit="1" customWidth="1"/>
    <col min="15" max="15" width="12.85546875" bestFit="1" customWidth="1"/>
    <col min="16" max="16" width="16.42578125" bestFit="1" customWidth="1"/>
    <col min="17" max="17" width="13.85546875" bestFit="1" customWidth="1"/>
    <col min="18" max="18" width="14.85546875" bestFit="1" customWidth="1"/>
    <col min="19" max="19" width="22.28515625" bestFit="1" customWidth="1"/>
    <col min="20" max="20" width="15.140625" bestFit="1" customWidth="1"/>
  </cols>
  <sheetData>
    <row r="1" spans="1:20">
      <c r="A1" s="11" t="s">
        <v>0</v>
      </c>
    </row>
    <row r="3" spans="1:20">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row>
    <row r="4" spans="1:20">
      <c r="A4" s="3">
        <v>46241</v>
      </c>
      <c r="B4" t="s">
        <v>21</v>
      </c>
      <c r="C4" t="s">
        <v>22</v>
      </c>
      <c r="D4" t="s">
        <v>23</v>
      </c>
      <c r="E4" t="s">
        <v>24</v>
      </c>
      <c r="F4" t="s">
        <v>25</v>
      </c>
      <c r="G4" t="s">
        <v>26</v>
      </c>
      <c r="H4" t="s">
        <v>27</v>
      </c>
      <c r="I4">
        <v>85</v>
      </c>
      <c r="J4">
        <v>90</v>
      </c>
      <c r="K4">
        <v>6</v>
      </c>
      <c r="L4">
        <v>6</v>
      </c>
      <c r="M4">
        <v>1</v>
      </c>
      <c r="N4">
        <v>8</v>
      </c>
      <c r="O4" t="s">
        <v>28</v>
      </c>
      <c r="P4">
        <v>0.94444444444444442</v>
      </c>
      <c r="Q4">
        <v>7.0588235294117646E-2</v>
      </c>
      <c r="R4">
        <v>7.0588235294117646E-2</v>
      </c>
      <c r="S4">
        <v>10.625</v>
      </c>
      <c r="T4" t="s">
        <v>29</v>
      </c>
    </row>
    <row r="5" spans="1:20">
      <c r="A5" s="3">
        <v>46239</v>
      </c>
      <c r="B5" t="s">
        <v>30</v>
      </c>
      <c r="C5" t="s">
        <v>31</v>
      </c>
      <c r="D5" t="s">
        <v>23</v>
      </c>
      <c r="E5" t="s">
        <v>32</v>
      </c>
      <c r="F5" t="s">
        <v>33</v>
      </c>
      <c r="G5" t="s">
        <v>34</v>
      </c>
      <c r="H5" t="s">
        <v>27</v>
      </c>
      <c r="I5">
        <v>135</v>
      </c>
      <c r="J5">
        <v>120</v>
      </c>
      <c r="K5">
        <v>0</v>
      </c>
      <c r="L5">
        <v>2</v>
      </c>
      <c r="M5">
        <v>14</v>
      </c>
      <c r="N5">
        <v>9</v>
      </c>
      <c r="O5" t="s">
        <v>35</v>
      </c>
      <c r="P5">
        <v>1.125</v>
      </c>
      <c r="Q5">
        <v>0</v>
      </c>
      <c r="R5">
        <v>1.4814814814814815E-2</v>
      </c>
      <c r="S5">
        <v>15</v>
      </c>
      <c r="T5" t="s">
        <v>36</v>
      </c>
    </row>
    <row r="6" spans="1:20">
      <c r="A6" s="3">
        <v>46241</v>
      </c>
      <c r="B6" t="s">
        <v>30</v>
      </c>
      <c r="C6" t="s">
        <v>31</v>
      </c>
      <c r="D6" t="s">
        <v>23</v>
      </c>
      <c r="E6" t="s">
        <v>37</v>
      </c>
      <c r="F6" t="s">
        <v>33</v>
      </c>
      <c r="G6" t="s">
        <v>38</v>
      </c>
      <c r="H6" t="s">
        <v>27</v>
      </c>
      <c r="I6">
        <v>120</v>
      </c>
      <c r="J6">
        <v>120</v>
      </c>
      <c r="K6">
        <v>2</v>
      </c>
      <c r="L6">
        <v>3</v>
      </c>
      <c r="M6">
        <v>46</v>
      </c>
      <c r="N6">
        <v>9</v>
      </c>
      <c r="O6" t="s">
        <v>35</v>
      </c>
      <c r="P6">
        <v>1</v>
      </c>
      <c r="Q6">
        <v>1.6666666666666666E-2</v>
      </c>
      <c r="R6">
        <v>2.5000000000000001E-2</v>
      </c>
      <c r="S6">
        <v>13.333333333333334</v>
      </c>
      <c r="T6" t="s">
        <v>36</v>
      </c>
    </row>
    <row r="7" spans="1:20">
      <c r="A7" s="3">
        <v>46247</v>
      </c>
      <c r="B7" t="s">
        <v>39</v>
      </c>
      <c r="C7" t="s">
        <v>40</v>
      </c>
      <c r="D7" t="s">
        <v>23</v>
      </c>
      <c r="E7" t="s">
        <v>41</v>
      </c>
      <c r="F7" t="s">
        <v>42</v>
      </c>
      <c r="G7" t="s">
        <v>34</v>
      </c>
      <c r="H7" t="s">
        <v>27</v>
      </c>
      <c r="I7">
        <v>125</v>
      </c>
      <c r="J7">
        <v>130</v>
      </c>
      <c r="K7">
        <v>3</v>
      </c>
      <c r="L7">
        <v>3</v>
      </c>
      <c r="M7">
        <v>14</v>
      </c>
      <c r="N7">
        <v>8</v>
      </c>
      <c r="O7" t="s">
        <v>35</v>
      </c>
      <c r="P7">
        <v>0.96153846153846156</v>
      </c>
      <c r="Q7">
        <v>2.4E-2</v>
      </c>
      <c r="R7">
        <v>2.4E-2</v>
      </c>
      <c r="S7">
        <v>15.625</v>
      </c>
      <c r="T7" t="s">
        <v>29</v>
      </c>
    </row>
    <row r="8" spans="1:20">
      <c r="A8" s="3">
        <v>46241</v>
      </c>
      <c r="B8" t="s">
        <v>43</v>
      </c>
      <c r="C8" t="s">
        <v>44</v>
      </c>
      <c r="D8" t="s">
        <v>23</v>
      </c>
      <c r="E8" t="s">
        <v>45</v>
      </c>
      <c r="F8" t="s">
        <v>33</v>
      </c>
      <c r="G8" t="s">
        <v>34</v>
      </c>
      <c r="H8" t="s">
        <v>27</v>
      </c>
      <c r="I8">
        <v>79</v>
      </c>
      <c r="J8">
        <v>90</v>
      </c>
      <c r="K8">
        <v>4</v>
      </c>
      <c r="L8">
        <v>6</v>
      </c>
      <c r="M8">
        <v>13</v>
      </c>
      <c r="N8">
        <v>8</v>
      </c>
      <c r="O8" t="s">
        <v>35</v>
      </c>
      <c r="P8">
        <v>0.87777777777777777</v>
      </c>
      <c r="Q8">
        <v>5.0632911392405063E-2</v>
      </c>
      <c r="R8">
        <v>7.5949367088607597E-2</v>
      </c>
      <c r="S8">
        <v>9.875</v>
      </c>
      <c r="T8" t="s">
        <v>29</v>
      </c>
    </row>
    <row r="9" spans="1:20">
      <c r="A9" s="3">
        <v>46244</v>
      </c>
      <c r="B9" t="s">
        <v>21</v>
      </c>
      <c r="C9" t="s">
        <v>22</v>
      </c>
      <c r="D9" t="s">
        <v>23</v>
      </c>
      <c r="E9" t="s">
        <v>46</v>
      </c>
      <c r="F9" t="s">
        <v>42</v>
      </c>
      <c r="G9" t="s">
        <v>47</v>
      </c>
      <c r="H9" t="s">
        <v>27</v>
      </c>
      <c r="I9">
        <v>103</v>
      </c>
      <c r="J9">
        <v>110</v>
      </c>
      <c r="K9">
        <v>4</v>
      </c>
      <c r="L9">
        <v>6</v>
      </c>
      <c r="M9">
        <v>28</v>
      </c>
      <c r="N9">
        <v>7.5</v>
      </c>
      <c r="O9" t="s">
        <v>28</v>
      </c>
      <c r="P9">
        <v>0.9363636363636364</v>
      </c>
      <c r="Q9">
        <v>3.8834951456310676E-2</v>
      </c>
      <c r="R9">
        <v>5.8252427184466021E-2</v>
      </c>
      <c r="S9">
        <v>13.733333333333333</v>
      </c>
      <c r="T9" t="s">
        <v>29</v>
      </c>
    </row>
    <row r="10" spans="1:20">
      <c r="A10" s="3">
        <v>46244</v>
      </c>
      <c r="B10" t="s">
        <v>39</v>
      </c>
      <c r="C10" t="s">
        <v>40</v>
      </c>
      <c r="D10" t="s">
        <v>23</v>
      </c>
      <c r="E10" t="s">
        <v>48</v>
      </c>
      <c r="F10" t="s">
        <v>25</v>
      </c>
      <c r="G10" t="s">
        <v>26</v>
      </c>
      <c r="H10" t="s">
        <v>27</v>
      </c>
      <c r="I10">
        <v>77</v>
      </c>
      <c r="J10">
        <v>90</v>
      </c>
      <c r="K10">
        <v>0</v>
      </c>
      <c r="L10">
        <v>0</v>
      </c>
      <c r="M10">
        <v>8</v>
      </c>
      <c r="N10">
        <v>7.5</v>
      </c>
      <c r="O10" t="s">
        <v>35</v>
      </c>
      <c r="P10">
        <v>0.85555555555555551</v>
      </c>
      <c r="Q10">
        <v>0</v>
      </c>
      <c r="R10">
        <v>0</v>
      </c>
      <c r="S10">
        <v>10.266666666666667</v>
      </c>
      <c r="T10" t="s">
        <v>29</v>
      </c>
    </row>
    <row r="11" spans="1:20">
      <c r="A11" s="3">
        <v>46239</v>
      </c>
      <c r="B11" t="s">
        <v>49</v>
      </c>
      <c r="C11" t="s">
        <v>50</v>
      </c>
      <c r="D11" t="s">
        <v>23</v>
      </c>
      <c r="E11" t="s">
        <v>51</v>
      </c>
      <c r="F11" t="s">
        <v>25</v>
      </c>
      <c r="G11" t="s">
        <v>34</v>
      </c>
      <c r="H11" t="s">
        <v>27</v>
      </c>
      <c r="I11">
        <v>91</v>
      </c>
      <c r="J11">
        <v>100</v>
      </c>
      <c r="K11">
        <v>6</v>
      </c>
      <c r="L11">
        <v>8</v>
      </c>
      <c r="M11">
        <v>33</v>
      </c>
      <c r="N11">
        <v>9</v>
      </c>
      <c r="O11" t="s">
        <v>28</v>
      </c>
      <c r="P11">
        <v>0.91</v>
      </c>
      <c r="Q11">
        <v>6.5934065934065936E-2</v>
      </c>
      <c r="R11">
        <v>8.7912087912087919E-2</v>
      </c>
      <c r="S11">
        <v>10.111111111111111</v>
      </c>
      <c r="T11" t="s">
        <v>29</v>
      </c>
    </row>
    <row r="12" spans="1:20">
      <c r="A12" s="3">
        <v>46247</v>
      </c>
      <c r="B12" t="s">
        <v>21</v>
      </c>
      <c r="C12" t="s">
        <v>22</v>
      </c>
      <c r="D12" t="s">
        <v>23</v>
      </c>
      <c r="E12" t="s">
        <v>52</v>
      </c>
      <c r="F12" t="s">
        <v>33</v>
      </c>
      <c r="G12" t="s">
        <v>34</v>
      </c>
      <c r="H12" t="s">
        <v>27</v>
      </c>
      <c r="I12">
        <v>146</v>
      </c>
      <c r="J12">
        <v>130</v>
      </c>
      <c r="K12">
        <v>5</v>
      </c>
      <c r="L12">
        <v>5</v>
      </c>
      <c r="M12">
        <v>10</v>
      </c>
      <c r="N12">
        <v>7.5</v>
      </c>
      <c r="O12" t="s">
        <v>28</v>
      </c>
      <c r="P12">
        <v>1.1230769230769231</v>
      </c>
      <c r="Q12">
        <v>3.4246575342465752E-2</v>
      </c>
      <c r="R12">
        <v>3.4246575342465752E-2</v>
      </c>
      <c r="S12">
        <v>19.466666666666665</v>
      </c>
      <c r="T12" t="s">
        <v>36</v>
      </c>
    </row>
    <row r="13" spans="1:20">
      <c r="A13" s="3">
        <v>46239</v>
      </c>
      <c r="B13" t="s">
        <v>53</v>
      </c>
      <c r="C13" t="s">
        <v>54</v>
      </c>
      <c r="D13" t="s">
        <v>23</v>
      </c>
      <c r="E13" t="s">
        <v>55</v>
      </c>
      <c r="F13" t="s">
        <v>42</v>
      </c>
      <c r="G13" t="s">
        <v>47</v>
      </c>
      <c r="H13" t="s">
        <v>27</v>
      </c>
      <c r="I13">
        <v>95</v>
      </c>
      <c r="J13">
        <v>100</v>
      </c>
      <c r="K13">
        <v>3</v>
      </c>
      <c r="L13">
        <v>2</v>
      </c>
      <c r="M13">
        <v>12</v>
      </c>
      <c r="N13">
        <v>7.5</v>
      </c>
      <c r="O13" t="s">
        <v>28</v>
      </c>
      <c r="P13">
        <v>0.95</v>
      </c>
      <c r="Q13">
        <v>3.1578947368421054E-2</v>
      </c>
      <c r="R13">
        <v>2.1052631578947368E-2</v>
      </c>
      <c r="S13">
        <v>12.666666666666666</v>
      </c>
      <c r="T13" t="s">
        <v>29</v>
      </c>
    </row>
    <row r="14" spans="1:20">
      <c r="A14" s="3">
        <v>46248</v>
      </c>
      <c r="B14" t="s">
        <v>56</v>
      </c>
      <c r="C14" t="s">
        <v>57</v>
      </c>
      <c r="D14" t="s">
        <v>23</v>
      </c>
      <c r="E14" t="s">
        <v>58</v>
      </c>
      <c r="F14" t="s">
        <v>42</v>
      </c>
      <c r="G14" t="s">
        <v>38</v>
      </c>
      <c r="H14" t="s">
        <v>27</v>
      </c>
      <c r="I14">
        <v>111</v>
      </c>
      <c r="J14">
        <v>110</v>
      </c>
      <c r="K14">
        <v>0</v>
      </c>
      <c r="L14">
        <v>0</v>
      </c>
      <c r="M14">
        <v>22</v>
      </c>
      <c r="N14">
        <v>8</v>
      </c>
      <c r="O14" t="s">
        <v>35</v>
      </c>
      <c r="P14">
        <v>1.009090909090909</v>
      </c>
      <c r="Q14">
        <v>0</v>
      </c>
      <c r="R14">
        <v>0</v>
      </c>
      <c r="S14">
        <v>13.875</v>
      </c>
      <c r="T14" t="s">
        <v>36</v>
      </c>
    </row>
    <row r="15" spans="1:20">
      <c r="A15" s="3">
        <v>46238</v>
      </c>
      <c r="B15" t="s">
        <v>43</v>
      </c>
      <c r="C15" t="s">
        <v>44</v>
      </c>
      <c r="D15" t="s">
        <v>23</v>
      </c>
      <c r="E15" t="s">
        <v>59</v>
      </c>
      <c r="F15" t="s">
        <v>42</v>
      </c>
      <c r="G15" t="s">
        <v>47</v>
      </c>
      <c r="H15" t="s">
        <v>27</v>
      </c>
      <c r="I15">
        <v>91</v>
      </c>
      <c r="J15">
        <v>100</v>
      </c>
      <c r="K15">
        <v>6</v>
      </c>
      <c r="L15">
        <v>7</v>
      </c>
      <c r="M15">
        <v>12</v>
      </c>
      <c r="N15">
        <v>7.5</v>
      </c>
      <c r="O15" t="s">
        <v>35</v>
      </c>
      <c r="P15">
        <v>0.91</v>
      </c>
      <c r="Q15">
        <v>6.5934065934065936E-2</v>
      </c>
      <c r="R15">
        <v>7.6923076923076927E-2</v>
      </c>
      <c r="S15">
        <v>12.133333333333333</v>
      </c>
      <c r="T15" t="s">
        <v>29</v>
      </c>
    </row>
    <row r="16" spans="1:20">
      <c r="A16" s="3">
        <v>46248</v>
      </c>
      <c r="B16" t="s">
        <v>49</v>
      </c>
      <c r="C16" t="s">
        <v>50</v>
      </c>
      <c r="D16" t="s">
        <v>23</v>
      </c>
      <c r="E16" t="s">
        <v>60</v>
      </c>
      <c r="F16" t="s">
        <v>25</v>
      </c>
      <c r="G16" t="s">
        <v>47</v>
      </c>
      <c r="H16" t="s">
        <v>27</v>
      </c>
      <c r="I16">
        <v>123</v>
      </c>
      <c r="J16">
        <v>120</v>
      </c>
      <c r="K16">
        <v>6</v>
      </c>
      <c r="L16">
        <v>6</v>
      </c>
      <c r="M16">
        <v>24</v>
      </c>
      <c r="N16">
        <v>8</v>
      </c>
      <c r="O16" t="s">
        <v>28</v>
      </c>
      <c r="P16">
        <v>1.0249999999999999</v>
      </c>
      <c r="Q16">
        <v>4.878048780487805E-2</v>
      </c>
      <c r="R16">
        <v>4.878048780487805E-2</v>
      </c>
      <c r="S16">
        <v>15.375</v>
      </c>
      <c r="T16" t="s">
        <v>36</v>
      </c>
    </row>
    <row r="17" spans="1:20">
      <c r="A17" s="3">
        <v>46237</v>
      </c>
      <c r="B17" t="s">
        <v>56</v>
      </c>
      <c r="C17" t="s">
        <v>57</v>
      </c>
      <c r="D17" t="s">
        <v>23</v>
      </c>
      <c r="E17" t="s">
        <v>61</v>
      </c>
      <c r="F17" t="s">
        <v>42</v>
      </c>
      <c r="G17" t="s">
        <v>38</v>
      </c>
      <c r="H17" t="s">
        <v>27</v>
      </c>
      <c r="I17">
        <v>139</v>
      </c>
      <c r="J17">
        <v>130</v>
      </c>
      <c r="K17">
        <v>3</v>
      </c>
      <c r="L17">
        <v>5</v>
      </c>
      <c r="M17">
        <v>15</v>
      </c>
      <c r="N17">
        <v>9</v>
      </c>
      <c r="O17" t="s">
        <v>35</v>
      </c>
      <c r="P17">
        <v>1.0692307692307692</v>
      </c>
      <c r="Q17">
        <v>2.1582733812949641E-2</v>
      </c>
      <c r="R17">
        <v>3.5971223021582732E-2</v>
      </c>
      <c r="S17">
        <v>15.444444444444445</v>
      </c>
      <c r="T17" t="s">
        <v>36</v>
      </c>
    </row>
    <row r="18" spans="1:20">
      <c r="A18" s="3">
        <v>46244</v>
      </c>
      <c r="B18" t="s">
        <v>56</v>
      </c>
      <c r="C18" t="s">
        <v>57</v>
      </c>
      <c r="D18" t="s">
        <v>23</v>
      </c>
      <c r="E18" t="s">
        <v>62</v>
      </c>
      <c r="F18" t="s">
        <v>42</v>
      </c>
      <c r="G18" t="s">
        <v>47</v>
      </c>
      <c r="H18" t="s">
        <v>27</v>
      </c>
      <c r="I18">
        <v>136</v>
      </c>
      <c r="J18">
        <v>130</v>
      </c>
      <c r="K18">
        <v>0</v>
      </c>
      <c r="L18">
        <v>1</v>
      </c>
      <c r="M18">
        <v>23</v>
      </c>
      <c r="N18">
        <v>7.5</v>
      </c>
      <c r="O18" t="s">
        <v>35</v>
      </c>
      <c r="P18">
        <v>1.0461538461538462</v>
      </c>
      <c r="Q18">
        <v>0</v>
      </c>
      <c r="R18">
        <v>7.3529411764705881E-3</v>
      </c>
      <c r="S18">
        <v>18.133333333333333</v>
      </c>
      <c r="T18" t="s">
        <v>36</v>
      </c>
    </row>
    <row r="19" spans="1:20">
      <c r="A19" s="3">
        <v>46248</v>
      </c>
      <c r="B19" t="s">
        <v>30</v>
      </c>
      <c r="C19" t="s">
        <v>31</v>
      </c>
      <c r="D19" t="s">
        <v>23</v>
      </c>
      <c r="E19" t="s">
        <v>63</v>
      </c>
      <c r="F19" t="s">
        <v>33</v>
      </c>
      <c r="G19" t="s">
        <v>26</v>
      </c>
      <c r="H19" t="s">
        <v>27</v>
      </c>
      <c r="I19">
        <v>86</v>
      </c>
      <c r="J19">
        <v>100</v>
      </c>
      <c r="K19">
        <v>8</v>
      </c>
      <c r="L19">
        <v>8</v>
      </c>
      <c r="M19">
        <v>13</v>
      </c>
      <c r="N19">
        <v>7.5</v>
      </c>
      <c r="O19" t="s">
        <v>35</v>
      </c>
      <c r="P19">
        <v>0.86</v>
      </c>
      <c r="Q19">
        <v>9.3023255813953487E-2</v>
      </c>
      <c r="R19">
        <v>9.3023255813953487E-2</v>
      </c>
      <c r="S19">
        <v>11.466666666666667</v>
      </c>
      <c r="T19" t="s">
        <v>29</v>
      </c>
    </row>
    <row r="20" spans="1:20">
      <c r="A20" s="3">
        <v>46241</v>
      </c>
      <c r="B20" t="s">
        <v>49</v>
      </c>
      <c r="C20" t="s">
        <v>40</v>
      </c>
      <c r="D20" t="s">
        <v>23</v>
      </c>
      <c r="E20" t="s">
        <v>64</v>
      </c>
      <c r="F20" t="s">
        <v>33</v>
      </c>
      <c r="G20" t="s">
        <v>26</v>
      </c>
      <c r="H20" t="s">
        <v>27</v>
      </c>
      <c r="I20">
        <v>94</v>
      </c>
      <c r="J20">
        <v>130</v>
      </c>
      <c r="K20">
        <v>0</v>
      </c>
      <c r="L20">
        <v>1</v>
      </c>
      <c r="M20">
        <v>5</v>
      </c>
      <c r="N20">
        <v>8</v>
      </c>
      <c r="O20" t="s">
        <v>28</v>
      </c>
      <c r="P20">
        <v>0.72307692307692306</v>
      </c>
      <c r="Q20">
        <v>0</v>
      </c>
      <c r="R20">
        <v>1.0638297872340425E-2</v>
      </c>
      <c r="S20">
        <v>11.75</v>
      </c>
      <c r="T20" t="s">
        <v>29</v>
      </c>
    </row>
    <row r="21" spans="1:20">
      <c r="A21" s="3">
        <v>46244</v>
      </c>
      <c r="B21" t="s">
        <v>49</v>
      </c>
      <c r="C21" t="s">
        <v>50</v>
      </c>
      <c r="D21" t="s">
        <v>23</v>
      </c>
      <c r="E21" t="s">
        <v>65</v>
      </c>
      <c r="F21" t="s">
        <v>42</v>
      </c>
      <c r="G21" t="s">
        <v>26</v>
      </c>
      <c r="H21" t="s">
        <v>27</v>
      </c>
      <c r="I21">
        <v>127</v>
      </c>
      <c r="J21">
        <v>130</v>
      </c>
      <c r="K21">
        <v>4</v>
      </c>
      <c r="L21">
        <v>4</v>
      </c>
      <c r="M21">
        <v>0</v>
      </c>
      <c r="N21">
        <v>9</v>
      </c>
      <c r="O21" t="s">
        <v>28</v>
      </c>
      <c r="P21">
        <v>0.97692307692307689</v>
      </c>
      <c r="Q21">
        <v>3.1496062992125984E-2</v>
      </c>
      <c r="R21">
        <v>3.1496062992125984E-2</v>
      </c>
      <c r="S21">
        <v>14.111111111111111</v>
      </c>
      <c r="T21" t="s">
        <v>29</v>
      </c>
    </row>
    <row r="22" spans="1:20">
      <c r="A22" s="3">
        <v>46247</v>
      </c>
      <c r="B22" t="s">
        <v>30</v>
      </c>
      <c r="C22" t="s">
        <v>31</v>
      </c>
      <c r="D22" t="s">
        <v>23</v>
      </c>
      <c r="E22" t="s">
        <v>66</v>
      </c>
      <c r="F22" t="s">
        <v>33</v>
      </c>
      <c r="G22" t="s">
        <v>38</v>
      </c>
      <c r="H22" t="s">
        <v>27</v>
      </c>
      <c r="I22">
        <v>86</v>
      </c>
      <c r="J22">
        <v>90</v>
      </c>
      <c r="K22">
        <v>7</v>
      </c>
      <c r="L22">
        <v>7</v>
      </c>
      <c r="M22">
        <v>17</v>
      </c>
      <c r="N22">
        <v>8</v>
      </c>
      <c r="O22" t="s">
        <v>35</v>
      </c>
      <c r="P22">
        <v>0.9555555555555556</v>
      </c>
      <c r="Q22">
        <v>8.1395348837209308E-2</v>
      </c>
      <c r="R22">
        <v>8.1395348837209308E-2</v>
      </c>
      <c r="S22">
        <v>10.75</v>
      </c>
      <c r="T22" t="s">
        <v>29</v>
      </c>
    </row>
    <row r="23" spans="1:20">
      <c r="A23" s="3">
        <v>46248</v>
      </c>
      <c r="B23" t="s">
        <v>49</v>
      </c>
      <c r="C23" t="s">
        <v>50</v>
      </c>
      <c r="D23" t="s">
        <v>23</v>
      </c>
      <c r="E23" t="s">
        <v>67</v>
      </c>
      <c r="F23" t="s">
        <v>25</v>
      </c>
      <c r="G23" t="s">
        <v>38</v>
      </c>
      <c r="H23" t="s">
        <v>27</v>
      </c>
      <c r="I23">
        <v>82</v>
      </c>
      <c r="J23">
        <v>100</v>
      </c>
      <c r="K23">
        <v>6</v>
      </c>
      <c r="L23">
        <v>7</v>
      </c>
      <c r="M23">
        <v>22</v>
      </c>
      <c r="N23">
        <v>8</v>
      </c>
      <c r="O23" t="s">
        <v>28</v>
      </c>
      <c r="P23">
        <v>0.82</v>
      </c>
      <c r="Q23">
        <v>7.3170731707317069E-2</v>
      </c>
      <c r="R23">
        <v>8.5365853658536592E-2</v>
      </c>
      <c r="S23">
        <v>10.25</v>
      </c>
      <c r="T23" t="s">
        <v>29</v>
      </c>
    </row>
    <row r="24" spans="1:20">
      <c r="A24" s="3">
        <v>46240</v>
      </c>
      <c r="B24" t="s">
        <v>21</v>
      </c>
      <c r="C24" t="s">
        <v>22</v>
      </c>
      <c r="D24" t="s">
        <v>23</v>
      </c>
      <c r="E24" t="s">
        <v>68</v>
      </c>
      <c r="F24" t="s">
        <v>33</v>
      </c>
      <c r="G24" t="s">
        <v>47</v>
      </c>
      <c r="H24" t="s">
        <v>27</v>
      </c>
      <c r="I24">
        <v>115</v>
      </c>
      <c r="J24">
        <v>120</v>
      </c>
      <c r="K24">
        <v>9</v>
      </c>
      <c r="L24">
        <v>11</v>
      </c>
      <c r="M24">
        <v>27</v>
      </c>
      <c r="N24">
        <v>8.5</v>
      </c>
      <c r="O24" t="s">
        <v>28</v>
      </c>
      <c r="P24">
        <v>0.95833333333333337</v>
      </c>
      <c r="Q24">
        <v>7.8260869565217397E-2</v>
      </c>
      <c r="R24">
        <v>9.5652173913043481E-2</v>
      </c>
      <c r="S24">
        <v>13.529411764705882</v>
      </c>
      <c r="T24" t="s">
        <v>29</v>
      </c>
    </row>
    <row r="25" spans="1:20">
      <c r="A25" s="3">
        <v>46247</v>
      </c>
      <c r="B25" t="s">
        <v>49</v>
      </c>
      <c r="C25" t="s">
        <v>50</v>
      </c>
      <c r="D25" t="s">
        <v>23</v>
      </c>
      <c r="E25" t="s">
        <v>69</v>
      </c>
      <c r="F25" t="s">
        <v>33</v>
      </c>
      <c r="G25" t="s">
        <v>26</v>
      </c>
      <c r="H25" t="s">
        <v>27</v>
      </c>
      <c r="I25">
        <v>97</v>
      </c>
      <c r="J25">
        <v>110</v>
      </c>
      <c r="K25">
        <v>6</v>
      </c>
      <c r="L25">
        <v>6</v>
      </c>
      <c r="M25">
        <v>30</v>
      </c>
      <c r="N25">
        <v>8</v>
      </c>
      <c r="O25" t="s">
        <v>28</v>
      </c>
      <c r="P25">
        <v>0.88181818181818183</v>
      </c>
      <c r="Q25">
        <v>6.1855670103092786E-2</v>
      </c>
      <c r="R25">
        <v>6.1855670103092786E-2</v>
      </c>
      <c r="S25">
        <v>12.125</v>
      </c>
      <c r="T25" t="s">
        <v>29</v>
      </c>
    </row>
    <row r="26" spans="1:20">
      <c r="A26" s="3">
        <v>46241</v>
      </c>
      <c r="B26" t="s">
        <v>21</v>
      </c>
      <c r="C26" t="s">
        <v>22</v>
      </c>
      <c r="D26" t="s">
        <v>23</v>
      </c>
      <c r="E26" t="s">
        <v>70</v>
      </c>
      <c r="F26" t="s">
        <v>25</v>
      </c>
      <c r="G26" t="s">
        <v>47</v>
      </c>
      <c r="H26" t="s">
        <v>27</v>
      </c>
      <c r="I26">
        <v>107</v>
      </c>
      <c r="J26">
        <v>100</v>
      </c>
      <c r="K26">
        <v>5</v>
      </c>
      <c r="L26">
        <v>4</v>
      </c>
      <c r="M26">
        <v>19</v>
      </c>
      <c r="N26">
        <v>8</v>
      </c>
      <c r="O26" t="s">
        <v>28</v>
      </c>
      <c r="P26">
        <v>1.07</v>
      </c>
      <c r="Q26">
        <v>4.6728971962616821E-2</v>
      </c>
      <c r="R26">
        <v>3.7383177570093455E-2</v>
      </c>
      <c r="S26">
        <v>13.375</v>
      </c>
      <c r="T26" t="s">
        <v>36</v>
      </c>
    </row>
    <row r="27" spans="1:20">
      <c r="A27" s="3">
        <v>46238</v>
      </c>
      <c r="B27" t="s">
        <v>71</v>
      </c>
      <c r="C27" t="s">
        <v>72</v>
      </c>
      <c r="D27" t="s">
        <v>23</v>
      </c>
      <c r="E27" t="s">
        <v>73</v>
      </c>
      <c r="F27" t="s">
        <v>42</v>
      </c>
      <c r="G27" t="s">
        <v>26</v>
      </c>
      <c r="H27" t="s">
        <v>27</v>
      </c>
      <c r="I27">
        <v>91</v>
      </c>
      <c r="J27">
        <v>110</v>
      </c>
      <c r="K27">
        <v>0</v>
      </c>
      <c r="L27">
        <v>1</v>
      </c>
      <c r="M27">
        <v>11</v>
      </c>
      <c r="N27">
        <v>8.5</v>
      </c>
      <c r="O27" t="s">
        <v>28</v>
      </c>
      <c r="P27">
        <v>0.82727272727272727</v>
      </c>
      <c r="Q27">
        <v>0</v>
      </c>
      <c r="R27">
        <v>1.098901098901099E-2</v>
      </c>
      <c r="S27">
        <v>10.705882352941176</v>
      </c>
      <c r="T27" t="s">
        <v>29</v>
      </c>
    </row>
    <row r="28" spans="1:20">
      <c r="A28" s="3">
        <v>46241</v>
      </c>
      <c r="B28" t="s">
        <v>71</v>
      </c>
      <c r="C28" t="s">
        <v>72</v>
      </c>
      <c r="D28" t="s">
        <v>23</v>
      </c>
      <c r="E28" t="s">
        <v>74</v>
      </c>
      <c r="F28" t="s">
        <v>33</v>
      </c>
      <c r="G28" t="s">
        <v>34</v>
      </c>
      <c r="H28" t="s">
        <v>27</v>
      </c>
      <c r="I28">
        <v>87</v>
      </c>
      <c r="J28">
        <v>90</v>
      </c>
      <c r="K28">
        <v>0</v>
      </c>
      <c r="L28">
        <v>0</v>
      </c>
      <c r="M28">
        <v>26</v>
      </c>
      <c r="N28">
        <v>8.5</v>
      </c>
      <c r="O28" t="s">
        <v>28</v>
      </c>
      <c r="P28">
        <v>0.96666666666666667</v>
      </c>
      <c r="Q28">
        <v>0</v>
      </c>
      <c r="R28">
        <v>0</v>
      </c>
      <c r="S28">
        <v>10.235294117647058</v>
      </c>
      <c r="T28" t="s">
        <v>29</v>
      </c>
    </row>
    <row r="29" spans="1:20">
      <c r="A29" s="3">
        <v>46237</v>
      </c>
      <c r="B29" t="s">
        <v>53</v>
      </c>
      <c r="C29" t="s">
        <v>54</v>
      </c>
      <c r="D29" t="s">
        <v>23</v>
      </c>
      <c r="E29" t="s">
        <v>75</v>
      </c>
      <c r="F29" t="s">
        <v>25</v>
      </c>
      <c r="G29" t="s">
        <v>47</v>
      </c>
      <c r="H29" t="s">
        <v>27</v>
      </c>
      <c r="I29">
        <v>119</v>
      </c>
      <c r="J29">
        <v>130</v>
      </c>
      <c r="K29">
        <v>6</v>
      </c>
      <c r="L29">
        <v>8</v>
      </c>
      <c r="M29">
        <v>17</v>
      </c>
      <c r="N29">
        <v>8.5</v>
      </c>
      <c r="O29" t="s">
        <v>28</v>
      </c>
      <c r="P29">
        <v>0.91538461538461535</v>
      </c>
      <c r="Q29">
        <v>5.0420168067226892E-2</v>
      </c>
      <c r="R29">
        <v>6.7226890756302518E-2</v>
      </c>
      <c r="S29">
        <v>14</v>
      </c>
      <c r="T29" t="s">
        <v>29</v>
      </c>
    </row>
    <row r="30" spans="1:20">
      <c r="A30" s="3">
        <v>46241</v>
      </c>
      <c r="B30" t="s">
        <v>21</v>
      </c>
      <c r="C30" t="s">
        <v>22</v>
      </c>
      <c r="D30" t="s">
        <v>23</v>
      </c>
      <c r="E30" t="s">
        <v>76</v>
      </c>
      <c r="F30" t="s">
        <v>42</v>
      </c>
      <c r="G30" t="s">
        <v>26</v>
      </c>
      <c r="H30" t="s">
        <v>27</v>
      </c>
      <c r="I30">
        <v>139</v>
      </c>
      <c r="J30">
        <v>130</v>
      </c>
      <c r="K30">
        <v>6</v>
      </c>
      <c r="L30">
        <v>6</v>
      </c>
      <c r="M30">
        <v>17</v>
      </c>
      <c r="N30">
        <v>8</v>
      </c>
      <c r="O30" t="s">
        <v>28</v>
      </c>
      <c r="P30">
        <v>1.0692307692307692</v>
      </c>
      <c r="Q30">
        <v>4.3165467625899283E-2</v>
      </c>
      <c r="R30">
        <v>4.3165467625899283E-2</v>
      </c>
      <c r="S30">
        <v>17.375</v>
      </c>
      <c r="T30" t="s">
        <v>36</v>
      </c>
    </row>
    <row r="31" spans="1:20">
      <c r="A31" s="3">
        <v>46245</v>
      </c>
      <c r="B31" t="s">
        <v>71</v>
      </c>
      <c r="C31" t="s">
        <v>72</v>
      </c>
      <c r="D31" t="s">
        <v>23</v>
      </c>
      <c r="E31" t="s">
        <v>77</v>
      </c>
      <c r="F31" t="s">
        <v>33</v>
      </c>
      <c r="G31" t="s">
        <v>38</v>
      </c>
      <c r="H31" t="s">
        <v>27</v>
      </c>
      <c r="I31">
        <v>116</v>
      </c>
      <c r="J31">
        <v>120</v>
      </c>
      <c r="K31">
        <v>1</v>
      </c>
      <c r="L31">
        <v>0</v>
      </c>
      <c r="M31">
        <v>4</v>
      </c>
      <c r="N31">
        <v>7.5</v>
      </c>
      <c r="O31" t="s">
        <v>28</v>
      </c>
      <c r="P31">
        <v>0.96666666666666667</v>
      </c>
      <c r="Q31">
        <v>8.6206896551724137E-3</v>
      </c>
      <c r="R31">
        <v>0</v>
      </c>
      <c r="S31">
        <v>15.466666666666667</v>
      </c>
      <c r="T31" t="s">
        <v>29</v>
      </c>
    </row>
    <row r="32" spans="1:20">
      <c r="A32" s="3">
        <v>46238</v>
      </c>
      <c r="B32" t="s">
        <v>53</v>
      </c>
      <c r="C32" t="s">
        <v>54</v>
      </c>
      <c r="D32" t="s">
        <v>23</v>
      </c>
      <c r="E32" t="s">
        <v>78</v>
      </c>
      <c r="F32" t="s">
        <v>42</v>
      </c>
      <c r="G32" t="s">
        <v>34</v>
      </c>
      <c r="H32" t="s">
        <v>27</v>
      </c>
      <c r="I32">
        <v>124</v>
      </c>
      <c r="J32">
        <v>130</v>
      </c>
      <c r="K32">
        <v>4</v>
      </c>
      <c r="L32">
        <v>3</v>
      </c>
      <c r="M32">
        <v>0</v>
      </c>
      <c r="N32">
        <v>8</v>
      </c>
      <c r="O32" t="s">
        <v>28</v>
      </c>
      <c r="P32">
        <v>0.9538461538461539</v>
      </c>
      <c r="Q32">
        <v>3.2258064516129031E-2</v>
      </c>
      <c r="R32">
        <v>2.4193548387096774E-2</v>
      </c>
      <c r="S32">
        <v>15.5</v>
      </c>
      <c r="T32" t="s">
        <v>29</v>
      </c>
    </row>
    <row r="33" spans="1:20">
      <c r="A33" s="3">
        <v>46238</v>
      </c>
      <c r="B33" t="s">
        <v>21</v>
      </c>
      <c r="C33" t="s">
        <v>22</v>
      </c>
      <c r="D33" t="s">
        <v>23</v>
      </c>
      <c r="E33" t="s">
        <v>79</v>
      </c>
      <c r="F33" t="s">
        <v>25</v>
      </c>
      <c r="G33" t="s">
        <v>34</v>
      </c>
      <c r="H33" t="s">
        <v>27</v>
      </c>
      <c r="I33">
        <v>129</v>
      </c>
      <c r="J33">
        <v>120</v>
      </c>
      <c r="K33">
        <v>3</v>
      </c>
      <c r="L33">
        <v>3</v>
      </c>
      <c r="M33">
        <v>30</v>
      </c>
      <c r="N33">
        <v>8.5</v>
      </c>
      <c r="O33" t="s">
        <v>28</v>
      </c>
      <c r="P33">
        <v>1.075</v>
      </c>
      <c r="Q33">
        <v>2.3255813953488372E-2</v>
      </c>
      <c r="R33">
        <v>2.3255813953488372E-2</v>
      </c>
      <c r="S33">
        <v>15.176470588235293</v>
      </c>
      <c r="T33" t="s">
        <v>36</v>
      </c>
    </row>
    <row r="34" spans="1:20">
      <c r="A34" s="3">
        <v>46238</v>
      </c>
      <c r="B34" t="s">
        <v>30</v>
      </c>
      <c r="C34" t="s">
        <v>31</v>
      </c>
      <c r="D34" t="s">
        <v>23</v>
      </c>
      <c r="E34" t="s">
        <v>80</v>
      </c>
      <c r="F34" t="s">
        <v>25</v>
      </c>
      <c r="G34" t="s">
        <v>26</v>
      </c>
      <c r="H34" t="s">
        <v>27</v>
      </c>
      <c r="I34">
        <v>136</v>
      </c>
      <c r="J34">
        <v>120</v>
      </c>
      <c r="K34">
        <v>9</v>
      </c>
      <c r="L34">
        <v>8</v>
      </c>
      <c r="M34">
        <v>18</v>
      </c>
      <c r="N34">
        <v>8</v>
      </c>
      <c r="O34" t="s">
        <v>35</v>
      </c>
      <c r="P34">
        <v>1.1333333333333333</v>
      </c>
      <c r="Q34">
        <v>6.6176470588235295E-2</v>
      </c>
      <c r="R34">
        <v>5.8823529411764705E-2</v>
      </c>
      <c r="S34">
        <v>17</v>
      </c>
      <c r="T34" t="s">
        <v>36</v>
      </c>
    </row>
    <row r="35" spans="1:20">
      <c r="A35" s="3">
        <v>46238</v>
      </c>
      <c r="B35" t="s">
        <v>39</v>
      </c>
      <c r="C35" t="s">
        <v>40</v>
      </c>
      <c r="D35" t="s">
        <v>23</v>
      </c>
      <c r="E35" t="s">
        <v>81</v>
      </c>
      <c r="F35" t="s">
        <v>42</v>
      </c>
      <c r="G35" t="s">
        <v>38</v>
      </c>
      <c r="H35" t="s">
        <v>27</v>
      </c>
      <c r="I35">
        <v>122</v>
      </c>
      <c r="J35">
        <v>120</v>
      </c>
      <c r="K35">
        <v>6</v>
      </c>
      <c r="L35">
        <v>5</v>
      </c>
      <c r="M35">
        <v>20</v>
      </c>
      <c r="N35">
        <v>7.5</v>
      </c>
      <c r="O35" t="s">
        <v>35</v>
      </c>
      <c r="P35">
        <v>1.0166666666666666</v>
      </c>
      <c r="Q35">
        <v>4.9180327868852458E-2</v>
      </c>
      <c r="R35">
        <v>4.0983606557377046E-2</v>
      </c>
      <c r="S35">
        <v>16.266666666666666</v>
      </c>
      <c r="T35" t="s">
        <v>36</v>
      </c>
    </row>
    <row r="36" spans="1:20">
      <c r="A36" s="3">
        <v>46241</v>
      </c>
      <c r="B36" t="s">
        <v>43</v>
      </c>
      <c r="C36" t="s">
        <v>44</v>
      </c>
      <c r="D36" t="s">
        <v>23</v>
      </c>
      <c r="E36" t="s">
        <v>82</v>
      </c>
      <c r="F36" t="s">
        <v>33</v>
      </c>
      <c r="G36" t="s">
        <v>38</v>
      </c>
      <c r="H36" t="s">
        <v>27</v>
      </c>
      <c r="I36">
        <v>94</v>
      </c>
      <c r="J36">
        <v>110</v>
      </c>
      <c r="K36">
        <v>0</v>
      </c>
      <c r="L36">
        <v>1</v>
      </c>
      <c r="M36">
        <v>37</v>
      </c>
      <c r="N36">
        <v>8.5</v>
      </c>
      <c r="O36" t="s">
        <v>35</v>
      </c>
      <c r="P36">
        <v>0.8545454545454545</v>
      </c>
      <c r="Q36">
        <v>0</v>
      </c>
      <c r="R36">
        <v>1.0638297872340425E-2</v>
      </c>
      <c r="S36">
        <v>11.058823529411764</v>
      </c>
      <c r="T36" t="s">
        <v>29</v>
      </c>
    </row>
    <row r="37" spans="1:20">
      <c r="A37" s="3">
        <v>46240</v>
      </c>
      <c r="B37" t="s">
        <v>71</v>
      </c>
      <c r="C37" t="s">
        <v>72</v>
      </c>
      <c r="D37" t="s">
        <v>23</v>
      </c>
      <c r="E37" t="s">
        <v>83</v>
      </c>
      <c r="F37" t="s">
        <v>33</v>
      </c>
      <c r="G37" t="s">
        <v>26</v>
      </c>
      <c r="H37" t="s">
        <v>27</v>
      </c>
      <c r="I37">
        <v>121</v>
      </c>
      <c r="J37">
        <v>130</v>
      </c>
      <c r="K37">
        <v>3</v>
      </c>
      <c r="L37">
        <v>2</v>
      </c>
      <c r="M37">
        <v>3</v>
      </c>
      <c r="N37">
        <v>8</v>
      </c>
      <c r="O37" t="s">
        <v>28</v>
      </c>
      <c r="P37">
        <v>0.93076923076923079</v>
      </c>
      <c r="Q37">
        <v>2.4793388429752067E-2</v>
      </c>
      <c r="R37">
        <v>1.6528925619834711E-2</v>
      </c>
      <c r="S37">
        <v>15.125</v>
      </c>
      <c r="T37"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B3277-FA99-40F2-88C9-BAC180C41086}">
  <dimension ref="A1:T96"/>
  <sheetViews>
    <sheetView workbookViewId="0">
      <selection activeCell="G23" sqref="G23"/>
    </sheetView>
  </sheetViews>
  <sheetFormatPr defaultRowHeight="15"/>
  <cols>
    <col min="1" max="1" width="10.7109375" customWidth="1"/>
    <col min="2" max="2" width="14.5703125" bestFit="1" customWidth="1"/>
    <col min="3" max="3" width="18.140625" bestFit="1" customWidth="1"/>
    <col min="4" max="4" width="9.28515625" bestFit="1" customWidth="1"/>
    <col min="5" max="5" width="14" bestFit="1" customWidth="1"/>
    <col min="6" max="6" width="16.7109375" bestFit="1" customWidth="1"/>
    <col min="7" max="7" width="12.42578125" bestFit="1" customWidth="1"/>
    <col min="8" max="8" width="17.5703125" bestFit="1" customWidth="1"/>
    <col min="9" max="9" width="17.140625" bestFit="1" customWidth="1"/>
    <col min="10" max="10" width="14.28515625" bestFit="1" customWidth="1"/>
    <col min="11" max="11" width="17.140625" bestFit="1" customWidth="1"/>
    <col min="12" max="12" width="15.5703125" bestFit="1" customWidth="1"/>
    <col min="13" max="13" width="20.85546875" bestFit="1" customWidth="1"/>
    <col min="14" max="14" width="16.42578125" bestFit="1" customWidth="1"/>
    <col min="15" max="15" width="12.85546875" bestFit="1" customWidth="1"/>
    <col min="16" max="16" width="14.7109375" customWidth="1"/>
    <col min="17" max="17" width="10.5703125" customWidth="1"/>
    <col min="18" max="18" width="11" customWidth="1"/>
    <col min="19" max="19" width="18.42578125" customWidth="1"/>
    <col min="20" max="20" width="13.7109375" customWidth="1"/>
  </cols>
  <sheetData>
    <row r="1" spans="1:20">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row>
    <row r="2" spans="1:20">
      <c r="A2" s="2">
        <v>46241</v>
      </c>
      <c r="B2" s="1" t="s">
        <v>21</v>
      </c>
      <c r="C2" s="1" t="s">
        <v>22</v>
      </c>
      <c r="D2" s="1" t="s">
        <v>23</v>
      </c>
      <c r="E2" s="1" t="s">
        <v>24</v>
      </c>
      <c r="F2" s="1" t="s">
        <v>25</v>
      </c>
      <c r="G2" s="1" t="s">
        <v>26</v>
      </c>
      <c r="H2" s="1" t="s">
        <v>27</v>
      </c>
      <c r="I2" s="1">
        <v>85</v>
      </c>
      <c r="J2" s="1">
        <v>90</v>
      </c>
      <c r="K2" s="1">
        <v>6</v>
      </c>
      <c r="L2" s="1">
        <v>6</v>
      </c>
      <c r="M2" s="1">
        <v>1</v>
      </c>
      <c r="N2" s="1">
        <v>8</v>
      </c>
      <c r="O2" s="1" t="s">
        <v>28</v>
      </c>
      <c r="P2" s="6">
        <f>I2/J2</f>
        <v>0.94444444444444442</v>
      </c>
      <c r="Q2" s="6">
        <f t="shared" ref="Q2:Q33" si="0">K2/I2</f>
        <v>7.0588235294117646E-2</v>
      </c>
      <c r="R2" s="6">
        <f t="shared" ref="R2:R65" si="1">L2/I2</f>
        <v>7.0588235294117646E-2</v>
      </c>
      <c r="S2" s="7">
        <f t="shared" ref="S2:S65" si="2">I2/N2</f>
        <v>10.625</v>
      </c>
      <c r="T2" s="5" t="str">
        <f t="shared" ref="T2:T33" si="3">IF(I2&lt;J2,"below target","met target")</f>
        <v>below target</v>
      </c>
    </row>
    <row r="3" spans="1:20">
      <c r="A3" s="2">
        <v>46240</v>
      </c>
      <c r="B3" s="1" t="s">
        <v>49</v>
      </c>
      <c r="C3" s="1" t="s">
        <v>50</v>
      </c>
      <c r="D3" s="1" t="s">
        <v>23</v>
      </c>
      <c r="E3" s="1" t="s">
        <v>84</v>
      </c>
      <c r="F3" s="1" t="s">
        <v>25</v>
      </c>
      <c r="G3" s="1" t="s">
        <v>34</v>
      </c>
      <c r="H3" s="1" t="s">
        <v>85</v>
      </c>
      <c r="I3" s="1">
        <v>141</v>
      </c>
      <c r="J3" s="1">
        <v>130</v>
      </c>
      <c r="K3" s="1">
        <v>5</v>
      </c>
      <c r="L3" s="1">
        <v>6</v>
      </c>
      <c r="M3" s="1">
        <v>3</v>
      </c>
      <c r="N3" s="1">
        <v>8</v>
      </c>
      <c r="O3" s="1" t="s">
        <v>28</v>
      </c>
      <c r="P3" s="6">
        <f t="shared" ref="P3:P66" si="4">I3/J3</f>
        <v>1.0846153846153845</v>
      </c>
      <c r="Q3" s="6">
        <f t="shared" si="0"/>
        <v>3.5460992907801421E-2</v>
      </c>
      <c r="R3" s="6">
        <f t="shared" si="1"/>
        <v>4.2553191489361701E-2</v>
      </c>
      <c r="S3" s="7">
        <f t="shared" si="2"/>
        <v>17.625</v>
      </c>
      <c r="T3" s="5" t="str">
        <f t="shared" si="3"/>
        <v>met target</v>
      </c>
    </row>
    <row r="4" spans="1:20">
      <c r="A4" s="2">
        <v>46246</v>
      </c>
      <c r="B4" s="1" t="s">
        <v>56</v>
      </c>
      <c r="C4" s="1" t="s">
        <v>57</v>
      </c>
      <c r="D4" s="1" t="s">
        <v>23</v>
      </c>
      <c r="E4" s="1" t="s">
        <v>86</v>
      </c>
      <c r="F4" s="1" t="s">
        <v>25</v>
      </c>
      <c r="G4" s="1" t="s">
        <v>34</v>
      </c>
      <c r="H4" s="1" t="s">
        <v>85</v>
      </c>
      <c r="I4" s="1">
        <v>114</v>
      </c>
      <c r="J4" s="1">
        <v>120</v>
      </c>
      <c r="K4" s="1">
        <v>10</v>
      </c>
      <c r="L4" s="1">
        <v>10</v>
      </c>
      <c r="M4" s="1">
        <v>10</v>
      </c>
      <c r="N4" s="1">
        <v>8.5</v>
      </c>
      <c r="O4" s="1" t="s">
        <v>35</v>
      </c>
      <c r="P4" s="6">
        <f t="shared" si="4"/>
        <v>0.95</v>
      </c>
      <c r="Q4" s="6">
        <f t="shared" si="0"/>
        <v>8.771929824561403E-2</v>
      </c>
      <c r="R4" s="6">
        <f t="shared" si="1"/>
        <v>8.771929824561403E-2</v>
      </c>
      <c r="S4" s="7">
        <f t="shared" si="2"/>
        <v>13.411764705882353</v>
      </c>
      <c r="T4" s="5" t="str">
        <f t="shared" si="3"/>
        <v>below target</v>
      </c>
    </row>
    <row r="5" spans="1:20">
      <c r="A5" s="2">
        <v>46238</v>
      </c>
      <c r="B5" s="1" t="s">
        <v>43</v>
      </c>
      <c r="C5" s="1" t="s">
        <v>44</v>
      </c>
      <c r="D5" s="1" t="s">
        <v>23</v>
      </c>
      <c r="E5" s="1" t="s">
        <v>87</v>
      </c>
      <c r="F5" s="1" t="s">
        <v>25</v>
      </c>
      <c r="G5" s="1" t="s">
        <v>47</v>
      </c>
      <c r="H5" s="1" t="s">
        <v>85</v>
      </c>
      <c r="I5" s="1">
        <v>80</v>
      </c>
      <c r="J5" s="1">
        <v>90</v>
      </c>
      <c r="K5" s="1">
        <v>7</v>
      </c>
      <c r="L5" s="1">
        <v>7</v>
      </c>
      <c r="M5" s="1">
        <v>2</v>
      </c>
      <c r="N5" s="1">
        <v>8</v>
      </c>
      <c r="O5" s="1" t="s">
        <v>35</v>
      </c>
      <c r="P5" s="6">
        <f t="shared" si="4"/>
        <v>0.88888888888888884</v>
      </c>
      <c r="Q5" s="6">
        <f t="shared" si="0"/>
        <v>8.7499999999999994E-2</v>
      </c>
      <c r="R5" s="6">
        <f t="shared" si="1"/>
        <v>8.7499999999999994E-2</v>
      </c>
      <c r="S5" s="7">
        <f t="shared" si="2"/>
        <v>10</v>
      </c>
      <c r="T5" s="5" t="str">
        <f t="shared" si="3"/>
        <v>below target</v>
      </c>
    </row>
    <row r="6" spans="1:20">
      <c r="A6" s="2">
        <v>46241</v>
      </c>
      <c r="B6" s="1" t="s">
        <v>43</v>
      </c>
      <c r="C6" s="1" t="s">
        <v>44</v>
      </c>
      <c r="D6" s="1" t="s">
        <v>23</v>
      </c>
      <c r="E6" s="1" t="s">
        <v>45</v>
      </c>
      <c r="F6" s="1" t="s">
        <v>33</v>
      </c>
      <c r="G6" s="1" t="s">
        <v>34</v>
      </c>
      <c r="H6" s="1" t="s">
        <v>27</v>
      </c>
      <c r="I6" s="1">
        <v>79</v>
      </c>
      <c r="J6" s="1">
        <v>90</v>
      </c>
      <c r="K6" s="1">
        <v>4</v>
      </c>
      <c r="L6" s="1">
        <v>6</v>
      </c>
      <c r="M6" s="1">
        <v>13</v>
      </c>
      <c r="N6" s="1">
        <v>8</v>
      </c>
      <c r="O6" s="1" t="s">
        <v>35</v>
      </c>
      <c r="P6" s="6">
        <f t="shared" si="4"/>
        <v>0.87777777777777777</v>
      </c>
      <c r="Q6" s="6">
        <f t="shared" si="0"/>
        <v>5.0632911392405063E-2</v>
      </c>
      <c r="R6" s="6">
        <f t="shared" si="1"/>
        <v>7.5949367088607597E-2</v>
      </c>
      <c r="S6" s="7">
        <f t="shared" si="2"/>
        <v>9.875</v>
      </c>
      <c r="T6" s="5" t="str">
        <f t="shared" si="3"/>
        <v>below target</v>
      </c>
    </row>
    <row r="7" spans="1:20">
      <c r="A7" s="3">
        <v>46244</v>
      </c>
      <c r="B7" s="1" t="s">
        <v>21</v>
      </c>
      <c r="C7" s="1" t="s">
        <v>22</v>
      </c>
      <c r="D7" s="1" t="s">
        <v>23</v>
      </c>
      <c r="E7" s="1" t="s">
        <v>46</v>
      </c>
      <c r="F7" s="1" t="s">
        <v>42</v>
      </c>
      <c r="G7" s="1" t="s">
        <v>47</v>
      </c>
      <c r="H7" s="1" t="s">
        <v>27</v>
      </c>
      <c r="I7" s="1">
        <v>103</v>
      </c>
      <c r="J7" s="1">
        <v>110</v>
      </c>
      <c r="K7" s="1">
        <v>4</v>
      </c>
      <c r="L7" s="1">
        <v>6</v>
      </c>
      <c r="M7" s="1">
        <v>28</v>
      </c>
      <c r="N7" s="1">
        <v>7.5</v>
      </c>
      <c r="O7" s="1" t="s">
        <v>28</v>
      </c>
      <c r="P7" s="6">
        <f t="shared" si="4"/>
        <v>0.9363636363636364</v>
      </c>
      <c r="Q7" s="6">
        <f t="shared" si="0"/>
        <v>3.8834951456310676E-2</v>
      </c>
      <c r="R7" s="6">
        <f t="shared" si="1"/>
        <v>5.8252427184466021E-2</v>
      </c>
      <c r="S7" s="7">
        <f t="shared" si="2"/>
        <v>13.733333333333333</v>
      </c>
      <c r="T7" s="5" t="str">
        <f t="shared" si="3"/>
        <v>below target</v>
      </c>
    </row>
    <row r="8" spans="1:20">
      <c r="A8" s="2">
        <v>46239</v>
      </c>
      <c r="B8" s="1" t="s">
        <v>49</v>
      </c>
      <c r="C8" s="1" t="s">
        <v>50</v>
      </c>
      <c r="D8" s="1" t="s">
        <v>23</v>
      </c>
      <c r="E8" s="1" t="s">
        <v>88</v>
      </c>
      <c r="F8" s="1" t="s">
        <v>42</v>
      </c>
      <c r="G8" s="1" t="s">
        <v>38</v>
      </c>
      <c r="H8" s="1" t="s">
        <v>85</v>
      </c>
      <c r="I8" s="1">
        <v>75</v>
      </c>
      <c r="J8" s="1">
        <v>90</v>
      </c>
      <c r="K8" s="1">
        <v>10</v>
      </c>
      <c r="L8" s="1">
        <v>11</v>
      </c>
      <c r="M8" s="1">
        <v>14</v>
      </c>
      <c r="N8" s="1">
        <v>8</v>
      </c>
      <c r="O8" s="1" t="s">
        <v>28</v>
      </c>
      <c r="P8" s="6">
        <f t="shared" si="4"/>
        <v>0.83333333333333337</v>
      </c>
      <c r="Q8" s="6">
        <f t="shared" si="0"/>
        <v>0.13333333333333333</v>
      </c>
      <c r="R8" s="6">
        <f t="shared" si="1"/>
        <v>0.14666666666666667</v>
      </c>
      <c r="S8" s="7">
        <f t="shared" si="2"/>
        <v>9.375</v>
      </c>
      <c r="T8" s="5" t="str">
        <f t="shared" si="3"/>
        <v>below target</v>
      </c>
    </row>
    <row r="9" spans="1:20">
      <c r="A9" s="2">
        <v>46241</v>
      </c>
      <c r="B9" s="1" t="s">
        <v>39</v>
      </c>
      <c r="C9" s="1" t="s">
        <v>40</v>
      </c>
      <c r="D9" s="1" t="s">
        <v>23</v>
      </c>
      <c r="E9" s="1" t="s">
        <v>89</v>
      </c>
      <c r="F9" s="1" t="s">
        <v>25</v>
      </c>
      <c r="G9" s="1" t="s">
        <v>38</v>
      </c>
      <c r="H9" s="1" t="s">
        <v>90</v>
      </c>
      <c r="I9" s="1">
        <v>130</v>
      </c>
      <c r="J9" s="1">
        <v>130</v>
      </c>
      <c r="K9" s="1">
        <v>4</v>
      </c>
      <c r="L9" s="1">
        <v>4</v>
      </c>
      <c r="M9" s="1">
        <v>29</v>
      </c>
      <c r="N9" s="1">
        <v>8</v>
      </c>
      <c r="O9" s="1" t="s">
        <v>35</v>
      </c>
      <c r="P9" s="6">
        <f t="shared" si="4"/>
        <v>1</v>
      </c>
      <c r="Q9" s="6">
        <f t="shared" si="0"/>
        <v>3.0769230769230771E-2</v>
      </c>
      <c r="R9" s="6">
        <f t="shared" si="1"/>
        <v>3.0769230769230771E-2</v>
      </c>
      <c r="S9" s="7">
        <f t="shared" si="2"/>
        <v>16.25</v>
      </c>
      <c r="T9" s="5" t="str">
        <f t="shared" si="3"/>
        <v>met target</v>
      </c>
    </row>
    <row r="10" spans="1:20">
      <c r="A10" s="2">
        <v>46247</v>
      </c>
      <c r="B10" s="1" t="s">
        <v>21</v>
      </c>
      <c r="C10" s="1" t="s">
        <v>22</v>
      </c>
      <c r="D10" s="1" t="s">
        <v>23</v>
      </c>
      <c r="E10" s="1" t="s">
        <v>52</v>
      </c>
      <c r="F10" s="1" t="s">
        <v>33</v>
      </c>
      <c r="G10" s="1" t="s">
        <v>34</v>
      </c>
      <c r="H10" s="1" t="s">
        <v>27</v>
      </c>
      <c r="I10" s="1">
        <v>146</v>
      </c>
      <c r="J10" s="1">
        <v>130</v>
      </c>
      <c r="K10" s="1">
        <v>5</v>
      </c>
      <c r="L10" s="1">
        <v>5</v>
      </c>
      <c r="M10" s="1">
        <v>10</v>
      </c>
      <c r="N10" s="1">
        <v>7.5</v>
      </c>
      <c r="O10" s="1" t="s">
        <v>28</v>
      </c>
      <c r="P10" s="6">
        <f t="shared" si="4"/>
        <v>1.1230769230769231</v>
      </c>
      <c r="Q10" s="6">
        <f t="shared" si="0"/>
        <v>3.4246575342465752E-2</v>
      </c>
      <c r="R10" s="6">
        <f t="shared" si="1"/>
        <v>3.4246575342465752E-2</v>
      </c>
      <c r="S10" s="7">
        <f t="shared" si="2"/>
        <v>19.466666666666665</v>
      </c>
      <c r="T10" s="5" t="str">
        <f t="shared" si="3"/>
        <v>met target</v>
      </c>
    </row>
    <row r="11" spans="1:20">
      <c r="A11" s="2">
        <v>46245</v>
      </c>
      <c r="B11" s="1" t="s">
        <v>30</v>
      </c>
      <c r="C11" s="1" t="s">
        <v>31</v>
      </c>
      <c r="D11" s="1" t="s">
        <v>23</v>
      </c>
      <c r="E11" s="1" t="s">
        <v>91</v>
      </c>
      <c r="F11" s="1" t="s">
        <v>33</v>
      </c>
      <c r="G11" s="1" t="s">
        <v>38</v>
      </c>
      <c r="H11" s="1" t="s">
        <v>85</v>
      </c>
      <c r="I11" s="1">
        <v>62</v>
      </c>
      <c r="J11" s="1">
        <v>90</v>
      </c>
      <c r="K11" s="1">
        <v>9</v>
      </c>
      <c r="L11" s="1">
        <v>9</v>
      </c>
      <c r="M11" s="1">
        <v>47</v>
      </c>
      <c r="N11" s="1">
        <v>9</v>
      </c>
      <c r="O11" s="1" t="s">
        <v>35</v>
      </c>
      <c r="P11" s="6">
        <f t="shared" si="4"/>
        <v>0.68888888888888888</v>
      </c>
      <c r="Q11" s="6">
        <f t="shared" si="0"/>
        <v>0.14516129032258066</v>
      </c>
      <c r="R11" s="6">
        <f t="shared" si="1"/>
        <v>0.14516129032258066</v>
      </c>
      <c r="S11" s="7">
        <f t="shared" si="2"/>
        <v>6.8888888888888893</v>
      </c>
      <c r="T11" s="5" t="str">
        <f t="shared" si="3"/>
        <v>below target</v>
      </c>
    </row>
    <row r="12" spans="1:20">
      <c r="A12" s="2">
        <v>46248</v>
      </c>
      <c r="B12" s="1" t="s">
        <v>56</v>
      </c>
      <c r="C12" s="1" t="s">
        <v>57</v>
      </c>
      <c r="D12" s="1" t="s">
        <v>23</v>
      </c>
      <c r="E12" s="1" t="s">
        <v>92</v>
      </c>
      <c r="F12" s="1" t="s">
        <v>42</v>
      </c>
      <c r="G12" s="1" t="s">
        <v>26</v>
      </c>
      <c r="H12" s="1" t="s">
        <v>90</v>
      </c>
      <c r="I12" s="1">
        <v>117</v>
      </c>
      <c r="J12" s="1">
        <v>100</v>
      </c>
      <c r="K12" s="1">
        <v>3</v>
      </c>
      <c r="L12" s="1">
        <v>4</v>
      </c>
      <c r="M12" s="1">
        <v>30</v>
      </c>
      <c r="N12" s="1">
        <v>7.5</v>
      </c>
      <c r="O12" s="1" t="s">
        <v>35</v>
      </c>
      <c r="P12" s="6">
        <f t="shared" si="4"/>
        <v>1.17</v>
      </c>
      <c r="Q12" s="6">
        <f t="shared" si="0"/>
        <v>2.564102564102564E-2</v>
      </c>
      <c r="R12" s="6">
        <f t="shared" si="1"/>
        <v>3.4188034188034191E-2</v>
      </c>
      <c r="S12" s="7">
        <f t="shared" si="2"/>
        <v>15.6</v>
      </c>
      <c r="T12" s="5" t="str">
        <f t="shared" si="3"/>
        <v>met target</v>
      </c>
    </row>
    <row r="13" spans="1:20">
      <c r="A13" s="2">
        <v>46238</v>
      </c>
      <c r="B13" s="1" t="s">
        <v>43</v>
      </c>
      <c r="C13" s="1" t="s">
        <v>44</v>
      </c>
      <c r="D13" s="1" t="s">
        <v>23</v>
      </c>
      <c r="E13" s="1" t="s">
        <v>59</v>
      </c>
      <c r="F13" s="1" t="s">
        <v>42</v>
      </c>
      <c r="G13" s="1" t="s">
        <v>47</v>
      </c>
      <c r="H13" s="1" t="s">
        <v>27</v>
      </c>
      <c r="I13" s="1">
        <v>91</v>
      </c>
      <c r="J13" s="1">
        <v>100</v>
      </c>
      <c r="K13" s="1">
        <v>6</v>
      </c>
      <c r="L13" s="1">
        <v>7</v>
      </c>
      <c r="M13" s="1">
        <v>12</v>
      </c>
      <c r="N13" s="1">
        <v>7.5</v>
      </c>
      <c r="O13" s="1" t="s">
        <v>35</v>
      </c>
      <c r="P13" s="6">
        <f t="shared" si="4"/>
        <v>0.91</v>
      </c>
      <c r="Q13" s="6">
        <f t="shared" si="0"/>
        <v>6.5934065934065936E-2</v>
      </c>
      <c r="R13" s="6">
        <f t="shared" si="1"/>
        <v>7.6923076923076927E-2</v>
      </c>
      <c r="S13" s="7">
        <f t="shared" si="2"/>
        <v>12.133333333333333</v>
      </c>
      <c r="T13" s="5" t="str">
        <f t="shared" si="3"/>
        <v>below target</v>
      </c>
    </row>
    <row r="14" spans="1:20">
      <c r="A14" s="3">
        <v>46248</v>
      </c>
      <c r="B14" s="1" t="s">
        <v>49</v>
      </c>
      <c r="C14" s="1" t="s">
        <v>50</v>
      </c>
      <c r="D14" s="1" t="s">
        <v>23</v>
      </c>
      <c r="E14" s="1" t="s">
        <v>60</v>
      </c>
      <c r="F14" s="1" t="s">
        <v>25</v>
      </c>
      <c r="G14" s="1" t="s">
        <v>47</v>
      </c>
      <c r="H14" s="1" t="s">
        <v>27</v>
      </c>
      <c r="I14" s="1">
        <v>123</v>
      </c>
      <c r="J14" s="1">
        <v>120</v>
      </c>
      <c r="K14" s="1">
        <v>6</v>
      </c>
      <c r="L14" s="1">
        <v>6</v>
      </c>
      <c r="M14" s="1">
        <v>24</v>
      </c>
      <c r="N14" s="1">
        <v>8</v>
      </c>
      <c r="O14" s="1" t="s">
        <v>28</v>
      </c>
      <c r="P14" s="6">
        <f t="shared" si="4"/>
        <v>1.0249999999999999</v>
      </c>
      <c r="Q14" s="6">
        <f t="shared" si="0"/>
        <v>4.878048780487805E-2</v>
      </c>
      <c r="R14" s="6">
        <f t="shared" si="1"/>
        <v>4.878048780487805E-2</v>
      </c>
      <c r="S14" s="7">
        <f t="shared" si="2"/>
        <v>15.375</v>
      </c>
      <c r="T14" s="5" t="str">
        <f t="shared" si="3"/>
        <v>met target</v>
      </c>
    </row>
    <row r="15" spans="1:20">
      <c r="A15" s="3">
        <v>46247</v>
      </c>
      <c r="B15" s="1" t="s">
        <v>49</v>
      </c>
      <c r="C15" s="1" t="s">
        <v>50</v>
      </c>
      <c r="D15" s="1" t="s">
        <v>23</v>
      </c>
      <c r="E15" s="1" t="s">
        <v>93</v>
      </c>
      <c r="F15" s="1" t="s">
        <v>42</v>
      </c>
      <c r="G15" s="1" t="s">
        <v>47</v>
      </c>
      <c r="H15" s="1" t="s">
        <v>85</v>
      </c>
      <c r="I15" s="1">
        <v>74</v>
      </c>
      <c r="J15" s="1">
        <v>90</v>
      </c>
      <c r="K15" s="1">
        <v>7</v>
      </c>
      <c r="L15" s="1">
        <v>9</v>
      </c>
      <c r="M15" s="1">
        <v>14</v>
      </c>
      <c r="N15" s="1">
        <v>8.5</v>
      </c>
      <c r="O15" s="1" t="s">
        <v>28</v>
      </c>
      <c r="P15" s="6">
        <f t="shared" si="4"/>
        <v>0.82222222222222219</v>
      </c>
      <c r="Q15" s="6">
        <f t="shared" si="0"/>
        <v>9.45945945945946E-2</v>
      </c>
      <c r="R15" s="6">
        <f t="shared" si="1"/>
        <v>0.12162162162162163</v>
      </c>
      <c r="S15" s="7">
        <f t="shared" si="2"/>
        <v>8.7058823529411757</v>
      </c>
      <c r="T15" s="5" t="str">
        <f t="shared" si="3"/>
        <v>below target</v>
      </c>
    </row>
    <row r="16" spans="1:20">
      <c r="A16" s="3">
        <v>46240</v>
      </c>
      <c r="B16" s="1" t="s">
        <v>39</v>
      </c>
      <c r="C16" s="1" t="s">
        <v>40</v>
      </c>
      <c r="D16" s="1" t="s">
        <v>23</v>
      </c>
      <c r="E16" s="1" t="s">
        <v>94</v>
      </c>
      <c r="F16" s="1" t="s">
        <v>25</v>
      </c>
      <c r="G16" s="1" t="s">
        <v>47</v>
      </c>
      <c r="H16" s="1" t="s">
        <v>90</v>
      </c>
      <c r="I16" s="1">
        <v>95</v>
      </c>
      <c r="J16" s="1">
        <v>90</v>
      </c>
      <c r="K16" s="1">
        <v>5</v>
      </c>
      <c r="L16" s="1">
        <v>4</v>
      </c>
      <c r="M16" s="1">
        <v>21</v>
      </c>
      <c r="N16" s="1">
        <v>8.5</v>
      </c>
      <c r="O16" s="1" t="s">
        <v>35</v>
      </c>
      <c r="P16" s="6">
        <f t="shared" si="4"/>
        <v>1.0555555555555556</v>
      </c>
      <c r="Q16" s="6">
        <f t="shared" si="0"/>
        <v>5.2631578947368418E-2</v>
      </c>
      <c r="R16" s="6">
        <f t="shared" si="1"/>
        <v>4.2105263157894736E-2</v>
      </c>
      <c r="S16" s="7">
        <f t="shared" si="2"/>
        <v>11.176470588235293</v>
      </c>
      <c r="T16" s="5" t="str">
        <f t="shared" si="3"/>
        <v>met target</v>
      </c>
    </row>
    <row r="17" spans="1:20">
      <c r="A17" s="2">
        <v>46239</v>
      </c>
      <c r="B17" s="1" t="s">
        <v>56</v>
      </c>
      <c r="C17" s="1" t="s">
        <v>57</v>
      </c>
      <c r="D17" s="1" t="s">
        <v>23</v>
      </c>
      <c r="E17" s="1" t="s">
        <v>95</v>
      </c>
      <c r="F17" s="1" t="s">
        <v>25</v>
      </c>
      <c r="G17" s="1" t="s">
        <v>34</v>
      </c>
      <c r="H17" s="1" t="s">
        <v>85</v>
      </c>
      <c r="I17" s="1">
        <v>131</v>
      </c>
      <c r="J17" s="1">
        <v>130</v>
      </c>
      <c r="K17" s="1">
        <v>2</v>
      </c>
      <c r="L17" s="1">
        <v>4</v>
      </c>
      <c r="M17" s="1">
        <v>14</v>
      </c>
      <c r="N17" s="1">
        <v>7.5</v>
      </c>
      <c r="O17" s="1" t="s">
        <v>35</v>
      </c>
      <c r="P17" s="6">
        <f t="shared" si="4"/>
        <v>1.0076923076923077</v>
      </c>
      <c r="Q17" s="6">
        <f t="shared" si="0"/>
        <v>1.5267175572519083E-2</v>
      </c>
      <c r="R17" s="6">
        <f t="shared" si="1"/>
        <v>3.0534351145038167E-2</v>
      </c>
      <c r="S17" s="7">
        <f t="shared" si="2"/>
        <v>17.466666666666665</v>
      </c>
      <c r="T17" s="5" t="str">
        <f t="shared" si="3"/>
        <v>met target</v>
      </c>
    </row>
    <row r="18" spans="1:20">
      <c r="A18" s="2">
        <v>46241</v>
      </c>
      <c r="B18" s="1" t="s">
        <v>49</v>
      </c>
      <c r="C18" s="1" t="s">
        <v>40</v>
      </c>
      <c r="D18" s="1" t="s">
        <v>23</v>
      </c>
      <c r="E18" s="1" t="s">
        <v>64</v>
      </c>
      <c r="F18" s="1" t="s">
        <v>33</v>
      </c>
      <c r="G18" s="1" t="s">
        <v>26</v>
      </c>
      <c r="H18" s="1" t="s">
        <v>27</v>
      </c>
      <c r="I18" s="1">
        <v>94</v>
      </c>
      <c r="J18" s="1">
        <v>130</v>
      </c>
      <c r="K18" s="1">
        <v>0</v>
      </c>
      <c r="L18" s="1">
        <v>1</v>
      </c>
      <c r="M18" s="1">
        <v>5</v>
      </c>
      <c r="N18" s="1">
        <v>8</v>
      </c>
      <c r="O18" s="1" t="s">
        <v>28</v>
      </c>
      <c r="P18" s="6">
        <f t="shared" si="4"/>
        <v>0.72307692307692306</v>
      </c>
      <c r="Q18" s="6">
        <f t="shared" si="0"/>
        <v>0</v>
      </c>
      <c r="R18" s="6">
        <f t="shared" si="1"/>
        <v>1.0638297872340425E-2</v>
      </c>
      <c r="S18" s="7">
        <f t="shared" si="2"/>
        <v>11.75</v>
      </c>
      <c r="T18" s="5" t="str">
        <f t="shared" si="3"/>
        <v>below target</v>
      </c>
    </row>
    <row r="19" spans="1:20">
      <c r="A19" s="2">
        <v>46240</v>
      </c>
      <c r="B19" s="1" t="s">
        <v>30</v>
      </c>
      <c r="C19" s="1" t="s">
        <v>31</v>
      </c>
      <c r="D19" s="1" t="s">
        <v>23</v>
      </c>
      <c r="E19" s="1" t="s">
        <v>96</v>
      </c>
      <c r="F19" s="1" t="s">
        <v>42</v>
      </c>
      <c r="G19" s="1" t="s">
        <v>34</v>
      </c>
      <c r="H19" s="1" t="s">
        <v>90</v>
      </c>
      <c r="I19" s="1">
        <v>109</v>
      </c>
      <c r="J19" s="1">
        <v>100</v>
      </c>
      <c r="K19" s="1">
        <v>0</v>
      </c>
      <c r="L19" s="1">
        <v>1</v>
      </c>
      <c r="M19" s="1">
        <v>25</v>
      </c>
      <c r="N19" s="1">
        <v>8</v>
      </c>
      <c r="O19" s="1" t="s">
        <v>35</v>
      </c>
      <c r="P19" s="6">
        <f t="shared" si="4"/>
        <v>1.0900000000000001</v>
      </c>
      <c r="Q19" s="6">
        <f t="shared" si="0"/>
        <v>0</v>
      </c>
      <c r="R19" s="6">
        <f t="shared" si="1"/>
        <v>9.1743119266055051E-3</v>
      </c>
      <c r="S19" s="7">
        <f t="shared" si="2"/>
        <v>13.625</v>
      </c>
      <c r="T19" s="5" t="str">
        <f t="shared" si="3"/>
        <v>met target</v>
      </c>
    </row>
    <row r="20" spans="1:20">
      <c r="A20" s="2">
        <v>46238</v>
      </c>
      <c r="B20" s="1" t="s">
        <v>53</v>
      </c>
      <c r="C20" s="1" t="s">
        <v>54</v>
      </c>
      <c r="D20" s="1" t="s">
        <v>23</v>
      </c>
      <c r="E20" s="1" t="s">
        <v>97</v>
      </c>
      <c r="F20" s="1" t="s">
        <v>42</v>
      </c>
      <c r="G20" s="1" t="s">
        <v>34</v>
      </c>
      <c r="H20" s="1" t="s">
        <v>85</v>
      </c>
      <c r="I20" s="1">
        <v>80</v>
      </c>
      <c r="J20" s="1">
        <v>90</v>
      </c>
      <c r="K20" s="1">
        <v>3</v>
      </c>
      <c r="L20" s="1">
        <v>2</v>
      </c>
      <c r="M20" s="1">
        <v>35</v>
      </c>
      <c r="N20" s="1">
        <v>8.5</v>
      </c>
      <c r="O20" s="1" t="s">
        <v>28</v>
      </c>
      <c r="P20" s="6">
        <f t="shared" si="4"/>
        <v>0.88888888888888884</v>
      </c>
      <c r="Q20" s="6">
        <f t="shared" si="0"/>
        <v>3.7499999999999999E-2</v>
      </c>
      <c r="R20" s="6">
        <f t="shared" si="1"/>
        <v>2.5000000000000001E-2</v>
      </c>
      <c r="S20" s="7">
        <f t="shared" si="2"/>
        <v>9.4117647058823533</v>
      </c>
      <c r="T20" s="5" t="str">
        <f t="shared" si="3"/>
        <v>below target</v>
      </c>
    </row>
    <row r="21" spans="1:20">
      <c r="A21" s="2">
        <v>46246</v>
      </c>
      <c r="B21" s="1" t="s">
        <v>39</v>
      </c>
      <c r="C21" s="1" t="s">
        <v>40</v>
      </c>
      <c r="D21" s="1" t="s">
        <v>23</v>
      </c>
      <c r="E21" s="1" t="s">
        <v>98</v>
      </c>
      <c r="F21" s="1" t="s">
        <v>42</v>
      </c>
      <c r="G21" s="1" t="s">
        <v>26</v>
      </c>
      <c r="H21" s="1" t="s">
        <v>90</v>
      </c>
      <c r="I21" s="1">
        <v>93</v>
      </c>
      <c r="J21" s="1">
        <v>130</v>
      </c>
      <c r="K21" s="1">
        <v>7</v>
      </c>
      <c r="L21" s="1">
        <v>7</v>
      </c>
      <c r="M21" s="1">
        <v>3</v>
      </c>
      <c r="N21" s="1">
        <v>9</v>
      </c>
      <c r="O21" s="1" t="s">
        <v>35</v>
      </c>
      <c r="P21" s="6">
        <f t="shared" si="4"/>
        <v>0.7153846153846154</v>
      </c>
      <c r="Q21" s="6">
        <f t="shared" si="0"/>
        <v>7.5268817204301078E-2</v>
      </c>
      <c r="R21" s="6">
        <f t="shared" si="1"/>
        <v>7.5268817204301078E-2</v>
      </c>
      <c r="S21" s="7">
        <f t="shared" si="2"/>
        <v>10.333333333333334</v>
      </c>
      <c r="T21" s="5" t="str">
        <f t="shared" si="3"/>
        <v>below target</v>
      </c>
    </row>
    <row r="22" spans="1:20">
      <c r="A22" s="2">
        <v>46244</v>
      </c>
      <c r="B22" s="1" t="s">
        <v>30</v>
      </c>
      <c r="C22" s="1" t="s">
        <v>31</v>
      </c>
      <c r="D22" s="1" t="s">
        <v>23</v>
      </c>
      <c r="E22" s="1" t="s">
        <v>99</v>
      </c>
      <c r="F22" s="1" t="s">
        <v>33</v>
      </c>
      <c r="G22" s="1" t="s">
        <v>34</v>
      </c>
      <c r="H22" s="1" t="s">
        <v>90</v>
      </c>
      <c r="I22" s="1">
        <v>95</v>
      </c>
      <c r="J22" s="1">
        <v>110</v>
      </c>
      <c r="K22" s="1">
        <v>6</v>
      </c>
      <c r="L22" s="1">
        <v>6</v>
      </c>
      <c r="M22" s="1">
        <v>30</v>
      </c>
      <c r="N22" s="1">
        <v>9</v>
      </c>
      <c r="O22" s="1" t="s">
        <v>35</v>
      </c>
      <c r="P22" s="6">
        <f t="shared" si="4"/>
        <v>0.86363636363636365</v>
      </c>
      <c r="Q22" s="6">
        <f t="shared" si="0"/>
        <v>6.3157894736842107E-2</v>
      </c>
      <c r="R22" s="6">
        <f t="shared" si="1"/>
        <v>6.3157894736842107E-2</v>
      </c>
      <c r="S22" s="7">
        <f t="shared" si="2"/>
        <v>10.555555555555555</v>
      </c>
      <c r="T22" s="5" t="str">
        <f t="shared" si="3"/>
        <v>below target</v>
      </c>
    </row>
    <row r="23" spans="1:20">
      <c r="A23" s="2">
        <v>46247</v>
      </c>
      <c r="B23" s="1" t="s">
        <v>49</v>
      </c>
      <c r="C23" s="1" t="s">
        <v>50</v>
      </c>
      <c r="D23" s="1" t="s">
        <v>23</v>
      </c>
      <c r="E23" s="1" t="s">
        <v>69</v>
      </c>
      <c r="F23" s="1" t="s">
        <v>33</v>
      </c>
      <c r="G23" s="1" t="s">
        <v>26</v>
      </c>
      <c r="H23" s="1" t="s">
        <v>27</v>
      </c>
      <c r="I23" s="1">
        <v>97</v>
      </c>
      <c r="J23" s="1">
        <v>110</v>
      </c>
      <c r="K23" s="1">
        <v>6</v>
      </c>
      <c r="L23" s="1">
        <v>6</v>
      </c>
      <c r="M23" s="1">
        <v>30</v>
      </c>
      <c r="N23" s="1">
        <v>8</v>
      </c>
      <c r="O23" s="1" t="s">
        <v>28</v>
      </c>
      <c r="P23" s="6">
        <f t="shared" si="4"/>
        <v>0.88181818181818183</v>
      </c>
      <c r="Q23" s="6">
        <f t="shared" si="0"/>
        <v>6.1855670103092786E-2</v>
      </c>
      <c r="R23" s="6">
        <f t="shared" si="1"/>
        <v>6.1855670103092786E-2</v>
      </c>
      <c r="S23" s="7">
        <f t="shared" si="2"/>
        <v>12.125</v>
      </c>
      <c r="T23" s="5" t="str">
        <f t="shared" si="3"/>
        <v>below target</v>
      </c>
    </row>
    <row r="24" spans="1:20">
      <c r="A24" s="2">
        <v>46241</v>
      </c>
      <c r="B24" s="1" t="s">
        <v>21</v>
      </c>
      <c r="C24" s="1" t="s">
        <v>22</v>
      </c>
      <c r="D24" s="1" t="s">
        <v>23</v>
      </c>
      <c r="E24" s="1" t="s">
        <v>70</v>
      </c>
      <c r="F24" s="1" t="s">
        <v>25</v>
      </c>
      <c r="G24" s="1" t="s">
        <v>47</v>
      </c>
      <c r="H24" s="1" t="s">
        <v>27</v>
      </c>
      <c r="I24" s="1">
        <v>107</v>
      </c>
      <c r="J24" s="1">
        <v>100</v>
      </c>
      <c r="K24" s="1">
        <v>5</v>
      </c>
      <c r="L24" s="1">
        <v>4</v>
      </c>
      <c r="M24" s="1">
        <v>19</v>
      </c>
      <c r="N24" s="1">
        <v>8</v>
      </c>
      <c r="O24" s="1" t="s">
        <v>28</v>
      </c>
      <c r="P24" s="6">
        <f t="shared" si="4"/>
        <v>1.07</v>
      </c>
      <c r="Q24" s="6">
        <f t="shared" si="0"/>
        <v>4.6728971962616821E-2</v>
      </c>
      <c r="R24" s="6">
        <f t="shared" si="1"/>
        <v>3.7383177570093455E-2</v>
      </c>
      <c r="S24" s="7">
        <f t="shared" si="2"/>
        <v>13.375</v>
      </c>
      <c r="T24" s="5" t="str">
        <f t="shared" si="3"/>
        <v>met target</v>
      </c>
    </row>
    <row r="25" spans="1:20">
      <c r="A25" s="2">
        <v>46238</v>
      </c>
      <c r="B25" s="1" t="s">
        <v>71</v>
      </c>
      <c r="C25" s="1" t="s">
        <v>72</v>
      </c>
      <c r="D25" s="1" t="s">
        <v>23</v>
      </c>
      <c r="E25" s="1" t="s">
        <v>73</v>
      </c>
      <c r="F25" s="1" t="s">
        <v>42</v>
      </c>
      <c r="G25" s="1" t="s">
        <v>26</v>
      </c>
      <c r="H25" s="1" t="s">
        <v>27</v>
      </c>
      <c r="I25" s="1">
        <v>91</v>
      </c>
      <c r="J25" s="1">
        <v>110</v>
      </c>
      <c r="K25" s="1">
        <v>0</v>
      </c>
      <c r="L25" s="1">
        <v>1</v>
      </c>
      <c r="M25" s="1">
        <v>11</v>
      </c>
      <c r="N25" s="1">
        <v>8.5</v>
      </c>
      <c r="O25" s="1" t="s">
        <v>28</v>
      </c>
      <c r="P25" s="6">
        <f t="shared" si="4"/>
        <v>0.82727272727272727</v>
      </c>
      <c r="Q25" s="6">
        <f t="shared" si="0"/>
        <v>0</v>
      </c>
      <c r="R25" s="6">
        <f t="shared" si="1"/>
        <v>1.098901098901099E-2</v>
      </c>
      <c r="S25" s="7">
        <f t="shared" si="2"/>
        <v>10.705882352941176</v>
      </c>
      <c r="T25" s="5" t="str">
        <f t="shared" si="3"/>
        <v>below target</v>
      </c>
    </row>
    <row r="26" spans="1:20">
      <c r="A26" s="2">
        <v>46241</v>
      </c>
      <c r="B26" s="1" t="s">
        <v>71</v>
      </c>
      <c r="C26" s="1" t="s">
        <v>72</v>
      </c>
      <c r="D26" s="1" t="s">
        <v>23</v>
      </c>
      <c r="E26" s="1" t="s">
        <v>74</v>
      </c>
      <c r="F26" s="1" t="s">
        <v>33</v>
      </c>
      <c r="G26" s="1" t="s">
        <v>34</v>
      </c>
      <c r="H26" s="1" t="s">
        <v>27</v>
      </c>
      <c r="I26" s="1">
        <v>87</v>
      </c>
      <c r="J26" s="1">
        <v>90</v>
      </c>
      <c r="K26" s="1">
        <v>0</v>
      </c>
      <c r="L26" s="1">
        <v>0</v>
      </c>
      <c r="M26" s="1">
        <v>26</v>
      </c>
      <c r="N26" s="1">
        <v>8.5</v>
      </c>
      <c r="O26" s="1" t="s">
        <v>28</v>
      </c>
      <c r="P26" s="6">
        <f t="shared" si="4"/>
        <v>0.96666666666666667</v>
      </c>
      <c r="Q26" s="6">
        <f t="shared" si="0"/>
        <v>0</v>
      </c>
      <c r="R26" s="6">
        <f t="shared" si="1"/>
        <v>0</v>
      </c>
      <c r="S26" s="7">
        <f t="shared" si="2"/>
        <v>10.235294117647058</v>
      </c>
      <c r="T26" s="5" t="str">
        <f t="shared" si="3"/>
        <v>below target</v>
      </c>
    </row>
    <row r="27" spans="1:20">
      <c r="A27" s="2">
        <v>46239</v>
      </c>
      <c r="B27" s="1" t="s">
        <v>53</v>
      </c>
      <c r="C27" s="1" t="s">
        <v>54</v>
      </c>
      <c r="D27" s="1" t="s">
        <v>23</v>
      </c>
      <c r="E27" s="1" t="s">
        <v>100</v>
      </c>
      <c r="F27" s="1" t="s">
        <v>42</v>
      </c>
      <c r="G27" s="1" t="s">
        <v>34</v>
      </c>
      <c r="H27" s="1" t="s">
        <v>85</v>
      </c>
      <c r="I27" s="1">
        <v>100</v>
      </c>
      <c r="J27" s="1">
        <v>100</v>
      </c>
      <c r="K27" s="1">
        <v>9</v>
      </c>
      <c r="L27" s="1">
        <v>10</v>
      </c>
      <c r="M27" s="1">
        <v>20</v>
      </c>
      <c r="N27" s="1">
        <v>8</v>
      </c>
      <c r="O27" s="1" t="s">
        <v>28</v>
      </c>
      <c r="P27" s="6">
        <f t="shared" si="4"/>
        <v>1</v>
      </c>
      <c r="Q27" s="6">
        <f t="shared" si="0"/>
        <v>0.09</v>
      </c>
      <c r="R27" s="6">
        <f t="shared" si="1"/>
        <v>0.1</v>
      </c>
      <c r="S27" s="7">
        <f t="shared" si="2"/>
        <v>12.5</v>
      </c>
      <c r="T27" s="5" t="str">
        <f t="shared" si="3"/>
        <v>met target</v>
      </c>
    </row>
    <row r="28" spans="1:20">
      <c r="A28" s="2">
        <v>46245</v>
      </c>
      <c r="B28" s="1" t="s">
        <v>56</v>
      </c>
      <c r="C28" s="1" t="s">
        <v>57</v>
      </c>
      <c r="D28" s="1" t="s">
        <v>23</v>
      </c>
      <c r="E28" s="1" t="s">
        <v>101</v>
      </c>
      <c r="F28" s="1" t="s">
        <v>33</v>
      </c>
      <c r="G28" s="1" t="s">
        <v>34</v>
      </c>
      <c r="H28" s="1" t="s">
        <v>85</v>
      </c>
      <c r="I28" s="1">
        <v>72</v>
      </c>
      <c r="J28" s="1">
        <v>90</v>
      </c>
      <c r="K28" s="1">
        <v>9</v>
      </c>
      <c r="L28" s="1">
        <v>8</v>
      </c>
      <c r="M28" s="1">
        <v>25</v>
      </c>
      <c r="N28" s="1">
        <v>8</v>
      </c>
      <c r="O28" s="1" t="s">
        <v>35</v>
      </c>
      <c r="P28" s="6">
        <f t="shared" si="4"/>
        <v>0.8</v>
      </c>
      <c r="Q28" s="6">
        <f t="shared" si="0"/>
        <v>0.125</v>
      </c>
      <c r="R28" s="6">
        <f t="shared" si="1"/>
        <v>0.1111111111111111</v>
      </c>
      <c r="S28" s="7">
        <f t="shared" si="2"/>
        <v>9</v>
      </c>
      <c r="T28" s="5" t="str">
        <f t="shared" si="3"/>
        <v>below target</v>
      </c>
    </row>
    <row r="29" spans="1:20">
      <c r="A29" s="2">
        <v>46237</v>
      </c>
      <c r="B29" s="1" t="s">
        <v>43</v>
      </c>
      <c r="C29" s="1" t="s">
        <v>44</v>
      </c>
      <c r="D29" s="1" t="s">
        <v>23</v>
      </c>
      <c r="E29" s="1" t="s">
        <v>102</v>
      </c>
      <c r="F29" s="1" t="s">
        <v>33</v>
      </c>
      <c r="G29" s="1" t="s">
        <v>47</v>
      </c>
      <c r="H29" s="1" t="s">
        <v>90</v>
      </c>
      <c r="I29" s="1">
        <v>102</v>
      </c>
      <c r="J29" s="1">
        <v>90</v>
      </c>
      <c r="K29" s="1">
        <v>1</v>
      </c>
      <c r="L29" s="1">
        <v>2</v>
      </c>
      <c r="M29" s="1">
        <v>40</v>
      </c>
      <c r="N29" s="1">
        <v>9</v>
      </c>
      <c r="O29" s="1" t="s">
        <v>35</v>
      </c>
      <c r="P29" s="6">
        <f t="shared" si="4"/>
        <v>1.1333333333333333</v>
      </c>
      <c r="Q29" s="6">
        <f t="shared" si="0"/>
        <v>9.8039215686274508E-3</v>
      </c>
      <c r="R29" s="6">
        <f t="shared" si="1"/>
        <v>1.9607843137254902E-2</v>
      </c>
      <c r="S29" s="7">
        <f t="shared" si="2"/>
        <v>11.333333333333334</v>
      </c>
      <c r="T29" s="5" t="str">
        <f t="shared" si="3"/>
        <v>met target</v>
      </c>
    </row>
    <row r="30" spans="1:20">
      <c r="A30" s="2">
        <v>46244</v>
      </c>
      <c r="B30" s="1" t="s">
        <v>43</v>
      </c>
      <c r="C30" s="1" t="s">
        <v>44</v>
      </c>
      <c r="D30" s="1" t="s">
        <v>23</v>
      </c>
      <c r="E30" s="1" t="s">
        <v>103</v>
      </c>
      <c r="F30" s="1" t="s">
        <v>25</v>
      </c>
      <c r="G30" s="1" t="s">
        <v>47</v>
      </c>
      <c r="H30" s="1" t="s">
        <v>90</v>
      </c>
      <c r="I30" s="1">
        <v>87</v>
      </c>
      <c r="J30" s="1">
        <v>100</v>
      </c>
      <c r="K30" s="1">
        <v>3</v>
      </c>
      <c r="L30" s="1">
        <v>4</v>
      </c>
      <c r="M30" s="1">
        <v>11</v>
      </c>
      <c r="N30" s="1">
        <v>7.5</v>
      </c>
      <c r="O30" s="1" t="s">
        <v>35</v>
      </c>
      <c r="P30" s="6">
        <f t="shared" si="4"/>
        <v>0.87</v>
      </c>
      <c r="Q30" s="6">
        <f t="shared" si="0"/>
        <v>3.4482758620689655E-2</v>
      </c>
      <c r="R30" s="6">
        <f t="shared" si="1"/>
        <v>4.5977011494252873E-2</v>
      </c>
      <c r="S30" s="7">
        <f t="shared" si="2"/>
        <v>11.6</v>
      </c>
      <c r="T30" s="5" t="str">
        <f t="shared" si="3"/>
        <v>below target</v>
      </c>
    </row>
    <row r="31" spans="1:20">
      <c r="A31" s="2">
        <v>46245</v>
      </c>
      <c r="B31" s="1" t="s">
        <v>30</v>
      </c>
      <c r="C31" s="1" t="s">
        <v>31</v>
      </c>
      <c r="D31" s="1" t="s">
        <v>23</v>
      </c>
      <c r="E31" s="1" t="s">
        <v>104</v>
      </c>
      <c r="F31" s="1" t="s">
        <v>25</v>
      </c>
      <c r="G31" s="1" t="s">
        <v>34</v>
      </c>
      <c r="H31" s="1" t="s">
        <v>90</v>
      </c>
      <c r="I31" s="1">
        <v>115</v>
      </c>
      <c r="J31" s="1">
        <v>120</v>
      </c>
      <c r="K31" s="1">
        <v>2</v>
      </c>
      <c r="L31" s="1">
        <v>1</v>
      </c>
      <c r="M31" s="1">
        <v>31</v>
      </c>
      <c r="N31" s="1">
        <v>7.5</v>
      </c>
      <c r="O31" s="1" t="s">
        <v>35</v>
      </c>
      <c r="P31" s="6">
        <f t="shared" si="4"/>
        <v>0.95833333333333337</v>
      </c>
      <c r="Q31" s="6">
        <f t="shared" si="0"/>
        <v>1.7391304347826087E-2</v>
      </c>
      <c r="R31" s="6">
        <f t="shared" si="1"/>
        <v>8.6956521739130436E-3</v>
      </c>
      <c r="S31" s="7">
        <f t="shared" si="2"/>
        <v>15.333333333333334</v>
      </c>
      <c r="T31" s="5" t="str">
        <f t="shared" si="3"/>
        <v>below target</v>
      </c>
    </row>
    <row r="32" spans="1:20">
      <c r="A32" s="2">
        <v>46245</v>
      </c>
      <c r="B32" s="1" t="s">
        <v>43</v>
      </c>
      <c r="C32" s="1" t="s">
        <v>44</v>
      </c>
      <c r="D32" s="1" t="s">
        <v>23</v>
      </c>
      <c r="E32" s="1" t="s">
        <v>105</v>
      </c>
      <c r="F32" s="1" t="s">
        <v>42</v>
      </c>
      <c r="G32" s="1" t="s">
        <v>26</v>
      </c>
      <c r="H32" s="1" t="s">
        <v>90</v>
      </c>
      <c r="I32" s="1">
        <v>132</v>
      </c>
      <c r="J32" s="1">
        <v>120</v>
      </c>
      <c r="K32" s="1">
        <v>2</v>
      </c>
      <c r="L32" s="1">
        <v>3</v>
      </c>
      <c r="M32" s="1">
        <v>23</v>
      </c>
      <c r="N32" s="1">
        <v>8</v>
      </c>
      <c r="O32" s="1" t="s">
        <v>35</v>
      </c>
      <c r="P32" s="6">
        <f t="shared" si="4"/>
        <v>1.1000000000000001</v>
      </c>
      <c r="Q32" s="6">
        <f t="shared" si="0"/>
        <v>1.5151515151515152E-2</v>
      </c>
      <c r="R32" s="6">
        <f t="shared" si="1"/>
        <v>2.2727272727272728E-2</v>
      </c>
      <c r="S32" s="7">
        <f t="shared" si="2"/>
        <v>16.5</v>
      </c>
      <c r="T32" s="5" t="str">
        <f t="shared" si="3"/>
        <v>met target</v>
      </c>
    </row>
    <row r="33" spans="1:20">
      <c r="A33" s="2">
        <v>46238</v>
      </c>
      <c r="B33" s="1" t="s">
        <v>39</v>
      </c>
      <c r="C33" s="1" t="s">
        <v>40</v>
      </c>
      <c r="D33" s="1" t="s">
        <v>23</v>
      </c>
      <c r="E33" s="1" t="s">
        <v>81</v>
      </c>
      <c r="F33" s="1" t="s">
        <v>42</v>
      </c>
      <c r="G33" s="1" t="s">
        <v>38</v>
      </c>
      <c r="H33" s="1" t="s">
        <v>27</v>
      </c>
      <c r="I33" s="1">
        <v>122</v>
      </c>
      <c r="J33" s="1">
        <v>120</v>
      </c>
      <c r="K33" s="1">
        <v>6</v>
      </c>
      <c r="L33" s="1">
        <v>5</v>
      </c>
      <c r="M33" s="1">
        <v>20</v>
      </c>
      <c r="N33" s="1">
        <v>7.5</v>
      </c>
      <c r="O33" s="1" t="s">
        <v>35</v>
      </c>
      <c r="P33" s="6">
        <f t="shared" si="4"/>
        <v>1.0166666666666666</v>
      </c>
      <c r="Q33" s="6">
        <f t="shared" si="0"/>
        <v>4.9180327868852458E-2</v>
      </c>
      <c r="R33" s="6">
        <f t="shared" si="1"/>
        <v>4.0983606557377046E-2</v>
      </c>
      <c r="S33" s="7">
        <f t="shared" si="2"/>
        <v>16.266666666666666</v>
      </c>
      <c r="T33" s="5" t="str">
        <f t="shared" si="3"/>
        <v>met target</v>
      </c>
    </row>
    <row r="34" spans="1:20">
      <c r="A34" s="2">
        <v>46241</v>
      </c>
      <c r="B34" s="1" t="s">
        <v>43</v>
      </c>
      <c r="C34" s="1" t="s">
        <v>44</v>
      </c>
      <c r="D34" s="1" t="s">
        <v>23</v>
      </c>
      <c r="E34" s="1" t="s">
        <v>82</v>
      </c>
      <c r="F34" s="1" t="s">
        <v>33</v>
      </c>
      <c r="G34" s="1" t="s">
        <v>38</v>
      </c>
      <c r="H34" s="1" t="s">
        <v>27</v>
      </c>
      <c r="I34" s="1">
        <v>94</v>
      </c>
      <c r="J34" s="1">
        <v>110</v>
      </c>
      <c r="K34" s="1">
        <v>0</v>
      </c>
      <c r="L34" s="1">
        <v>1</v>
      </c>
      <c r="M34" s="1">
        <v>37</v>
      </c>
      <c r="N34" s="1">
        <v>8.5</v>
      </c>
      <c r="O34" s="1" t="s">
        <v>35</v>
      </c>
      <c r="P34" s="6">
        <f t="shared" si="4"/>
        <v>0.8545454545454545</v>
      </c>
      <c r="Q34" s="6">
        <f t="shared" ref="Q34:Q65" si="5">K34/I34</f>
        <v>0</v>
      </c>
      <c r="R34" s="6">
        <f t="shared" si="1"/>
        <v>1.0638297872340425E-2</v>
      </c>
      <c r="S34" s="7">
        <f t="shared" si="2"/>
        <v>11.058823529411764</v>
      </c>
      <c r="T34" s="5" t="str">
        <f t="shared" ref="T34:T65" si="6">IF(I34&lt;J34,"below target","met target")</f>
        <v>below target</v>
      </c>
    </row>
    <row r="35" spans="1:20">
      <c r="A35" s="2">
        <v>46247</v>
      </c>
      <c r="B35" s="1" t="s">
        <v>30</v>
      </c>
      <c r="C35" s="1" t="s">
        <v>31</v>
      </c>
      <c r="D35" s="1" t="s">
        <v>23</v>
      </c>
      <c r="E35" s="1" t="s">
        <v>106</v>
      </c>
      <c r="F35" s="1" t="s">
        <v>25</v>
      </c>
      <c r="G35" s="1" t="s">
        <v>38</v>
      </c>
      <c r="H35" s="1" t="s">
        <v>90</v>
      </c>
      <c r="I35" s="1">
        <v>88</v>
      </c>
      <c r="J35" s="1">
        <v>110</v>
      </c>
      <c r="K35" s="1">
        <v>3</v>
      </c>
      <c r="L35" s="1">
        <v>3</v>
      </c>
      <c r="M35" s="1">
        <v>27</v>
      </c>
      <c r="N35" s="1">
        <v>7.5</v>
      </c>
      <c r="O35" s="1" t="s">
        <v>35</v>
      </c>
      <c r="P35" s="6">
        <f t="shared" si="4"/>
        <v>0.8</v>
      </c>
      <c r="Q35" s="6">
        <f t="shared" si="5"/>
        <v>3.4090909090909088E-2</v>
      </c>
      <c r="R35" s="6">
        <f t="shared" si="1"/>
        <v>3.4090909090909088E-2</v>
      </c>
      <c r="S35" s="7">
        <f t="shared" si="2"/>
        <v>11.733333333333333</v>
      </c>
      <c r="T35" s="5" t="str">
        <f t="shared" si="6"/>
        <v>below target</v>
      </c>
    </row>
    <row r="36" spans="1:20">
      <c r="A36" s="2">
        <v>46237</v>
      </c>
      <c r="B36" s="1" t="s">
        <v>21</v>
      </c>
      <c r="C36" s="1" t="s">
        <v>22</v>
      </c>
      <c r="D36" s="1" t="s">
        <v>23</v>
      </c>
      <c r="E36" s="1" t="s">
        <v>107</v>
      </c>
      <c r="F36" s="1" t="s">
        <v>25</v>
      </c>
      <c r="G36" s="1" t="s">
        <v>26</v>
      </c>
      <c r="H36" s="1" t="s">
        <v>85</v>
      </c>
      <c r="I36" s="1">
        <v>118</v>
      </c>
      <c r="J36" s="1">
        <v>130</v>
      </c>
      <c r="K36" s="1">
        <v>8</v>
      </c>
      <c r="L36" s="1">
        <v>10</v>
      </c>
      <c r="M36" s="1">
        <v>43</v>
      </c>
      <c r="N36" s="1">
        <v>7.5</v>
      </c>
      <c r="O36" s="1" t="s">
        <v>28</v>
      </c>
      <c r="P36" s="6">
        <f t="shared" si="4"/>
        <v>0.90769230769230769</v>
      </c>
      <c r="Q36" s="6">
        <f t="shared" si="5"/>
        <v>6.7796610169491525E-2</v>
      </c>
      <c r="R36" s="6">
        <f t="shared" si="1"/>
        <v>8.4745762711864403E-2</v>
      </c>
      <c r="S36" s="7">
        <f t="shared" si="2"/>
        <v>15.733333333333333</v>
      </c>
      <c r="T36" s="5" t="str">
        <f t="shared" si="6"/>
        <v>below target</v>
      </c>
    </row>
    <row r="37" spans="1:20">
      <c r="A37" s="2">
        <v>46240</v>
      </c>
      <c r="B37" s="1" t="s">
        <v>71</v>
      </c>
      <c r="C37" s="1" t="s">
        <v>72</v>
      </c>
      <c r="D37" s="1" t="s">
        <v>23</v>
      </c>
      <c r="E37" s="1" t="s">
        <v>83</v>
      </c>
      <c r="F37" s="1" t="s">
        <v>33</v>
      </c>
      <c r="G37" s="1" t="s">
        <v>26</v>
      </c>
      <c r="H37" s="1" t="s">
        <v>27</v>
      </c>
      <c r="I37" s="1">
        <v>121</v>
      </c>
      <c r="J37" s="1">
        <v>130</v>
      </c>
      <c r="K37" s="1">
        <v>3</v>
      </c>
      <c r="L37" s="1">
        <v>2</v>
      </c>
      <c r="M37" s="1">
        <v>3</v>
      </c>
      <c r="N37" s="1">
        <v>8</v>
      </c>
      <c r="O37" s="1" t="s">
        <v>28</v>
      </c>
      <c r="P37" s="6">
        <f t="shared" si="4"/>
        <v>0.93076923076923079</v>
      </c>
      <c r="Q37" s="6">
        <f t="shared" si="5"/>
        <v>2.4793388429752067E-2</v>
      </c>
      <c r="R37" s="6">
        <f t="shared" si="1"/>
        <v>1.6528925619834711E-2</v>
      </c>
      <c r="S37" s="7">
        <f t="shared" si="2"/>
        <v>15.125</v>
      </c>
      <c r="T37" s="5" t="str">
        <f t="shared" si="6"/>
        <v>below target</v>
      </c>
    </row>
    <row r="38" spans="1:20">
      <c r="A38" s="2">
        <v>46246</v>
      </c>
      <c r="B38" s="1" t="s">
        <v>21</v>
      </c>
      <c r="C38" s="1" t="s">
        <v>22</v>
      </c>
      <c r="D38" s="1" t="s">
        <v>23</v>
      </c>
      <c r="E38" s="1" t="s">
        <v>108</v>
      </c>
      <c r="F38" s="1" t="s">
        <v>42</v>
      </c>
      <c r="G38" s="1" t="s">
        <v>34</v>
      </c>
      <c r="H38" s="1" t="s">
        <v>85</v>
      </c>
      <c r="I38" s="1">
        <v>126</v>
      </c>
      <c r="J38" s="1">
        <v>120</v>
      </c>
      <c r="K38" s="1">
        <v>10</v>
      </c>
      <c r="L38" s="1">
        <v>10</v>
      </c>
      <c r="M38" s="1">
        <v>19</v>
      </c>
      <c r="N38" s="1">
        <v>8</v>
      </c>
      <c r="O38" s="1" t="s">
        <v>28</v>
      </c>
      <c r="P38" s="6">
        <f t="shared" si="4"/>
        <v>1.05</v>
      </c>
      <c r="Q38" s="6">
        <f t="shared" si="5"/>
        <v>7.9365079365079361E-2</v>
      </c>
      <c r="R38" s="6">
        <f t="shared" si="1"/>
        <v>7.9365079365079361E-2</v>
      </c>
      <c r="S38" s="7">
        <f t="shared" si="2"/>
        <v>15.75</v>
      </c>
      <c r="T38" s="5" t="str">
        <f t="shared" si="6"/>
        <v>met target</v>
      </c>
    </row>
    <row r="39" spans="1:20">
      <c r="A39" s="2">
        <v>46237</v>
      </c>
      <c r="B39" s="1" t="s">
        <v>30</v>
      </c>
      <c r="C39" s="1" t="s">
        <v>31</v>
      </c>
      <c r="D39" s="1" t="s">
        <v>23</v>
      </c>
      <c r="E39" s="1" t="s">
        <v>109</v>
      </c>
      <c r="F39" s="1" t="s">
        <v>25</v>
      </c>
      <c r="G39" s="1" t="s">
        <v>38</v>
      </c>
      <c r="H39" s="1" t="s">
        <v>90</v>
      </c>
      <c r="I39" s="1">
        <v>135</v>
      </c>
      <c r="J39" s="1">
        <v>130</v>
      </c>
      <c r="K39" s="1">
        <v>0</v>
      </c>
      <c r="L39" s="1">
        <v>0</v>
      </c>
      <c r="M39" s="1">
        <v>0</v>
      </c>
      <c r="N39" s="1">
        <v>8</v>
      </c>
      <c r="O39" s="1" t="s">
        <v>35</v>
      </c>
      <c r="P39" s="6">
        <f t="shared" si="4"/>
        <v>1.0384615384615385</v>
      </c>
      <c r="Q39" s="6">
        <f t="shared" si="5"/>
        <v>0</v>
      </c>
      <c r="R39" s="6">
        <f t="shared" si="1"/>
        <v>0</v>
      </c>
      <c r="S39" s="7">
        <f t="shared" si="2"/>
        <v>16.875</v>
      </c>
      <c r="T39" s="5" t="str">
        <f t="shared" si="6"/>
        <v>met target</v>
      </c>
    </row>
    <row r="40" spans="1:20">
      <c r="A40" s="2">
        <v>46247</v>
      </c>
      <c r="B40" s="1" t="s">
        <v>71</v>
      </c>
      <c r="C40" s="1" t="s">
        <v>72</v>
      </c>
      <c r="D40" s="1" t="s">
        <v>23</v>
      </c>
      <c r="E40" s="1" t="s">
        <v>110</v>
      </c>
      <c r="F40" s="1" t="s">
        <v>33</v>
      </c>
      <c r="G40" s="1" t="s">
        <v>26</v>
      </c>
      <c r="H40" s="1" t="s">
        <v>85</v>
      </c>
      <c r="I40" s="1">
        <v>107</v>
      </c>
      <c r="J40" s="1">
        <v>90</v>
      </c>
      <c r="K40" s="1">
        <v>4</v>
      </c>
      <c r="L40" s="1">
        <v>4</v>
      </c>
      <c r="M40" s="1">
        <v>1</v>
      </c>
      <c r="N40" s="1">
        <v>8</v>
      </c>
      <c r="O40" s="1" t="s">
        <v>28</v>
      </c>
      <c r="P40" s="6">
        <f t="shared" si="4"/>
        <v>1.1888888888888889</v>
      </c>
      <c r="Q40" s="6">
        <f t="shared" si="5"/>
        <v>3.7383177570093455E-2</v>
      </c>
      <c r="R40" s="6">
        <f t="shared" si="1"/>
        <v>3.7383177570093455E-2</v>
      </c>
      <c r="S40" s="7">
        <f t="shared" si="2"/>
        <v>13.375</v>
      </c>
      <c r="T40" s="5" t="str">
        <f t="shared" si="6"/>
        <v>met target</v>
      </c>
    </row>
    <row r="41" spans="1:20">
      <c r="A41" s="2">
        <v>46240</v>
      </c>
      <c r="B41" s="1" t="s">
        <v>30</v>
      </c>
      <c r="C41" s="1" t="s">
        <v>31</v>
      </c>
      <c r="D41" s="1" t="s">
        <v>23</v>
      </c>
      <c r="E41" s="1" t="s">
        <v>111</v>
      </c>
      <c r="F41" s="1" t="s">
        <v>25</v>
      </c>
      <c r="G41" s="1" t="s">
        <v>26</v>
      </c>
      <c r="H41" s="1" t="s">
        <v>85</v>
      </c>
      <c r="I41" s="1">
        <v>109</v>
      </c>
      <c r="J41" s="1">
        <v>110</v>
      </c>
      <c r="K41" s="1">
        <v>9</v>
      </c>
      <c r="L41" s="1">
        <v>9</v>
      </c>
      <c r="M41" s="1">
        <v>24</v>
      </c>
      <c r="N41" s="1">
        <v>8</v>
      </c>
      <c r="O41" s="1" t="s">
        <v>35</v>
      </c>
      <c r="P41" s="6">
        <f t="shared" si="4"/>
        <v>0.99090909090909096</v>
      </c>
      <c r="Q41" s="6">
        <f t="shared" si="5"/>
        <v>8.2568807339449546E-2</v>
      </c>
      <c r="R41" s="6">
        <f t="shared" si="1"/>
        <v>8.2568807339449546E-2</v>
      </c>
      <c r="S41" s="7">
        <f t="shared" si="2"/>
        <v>13.625</v>
      </c>
      <c r="T41" s="5" t="str">
        <f t="shared" si="6"/>
        <v>below target</v>
      </c>
    </row>
    <row r="42" spans="1:20">
      <c r="A42" s="2">
        <v>46237</v>
      </c>
      <c r="B42" s="1" t="s">
        <v>21</v>
      </c>
      <c r="C42" s="1" t="s">
        <v>22</v>
      </c>
      <c r="D42" s="1" t="s">
        <v>23</v>
      </c>
      <c r="E42" s="1" t="s">
        <v>112</v>
      </c>
      <c r="F42" s="1" t="s">
        <v>33</v>
      </c>
      <c r="G42" s="1" t="s">
        <v>34</v>
      </c>
      <c r="H42" s="1" t="s">
        <v>85</v>
      </c>
      <c r="I42" s="1">
        <v>135</v>
      </c>
      <c r="J42" s="1">
        <v>120</v>
      </c>
      <c r="K42" s="1">
        <v>5</v>
      </c>
      <c r="L42" s="1">
        <v>4</v>
      </c>
      <c r="M42" s="1">
        <v>0</v>
      </c>
      <c r="N42" s="1">
        <v>8</v>
      </c>
      <c r="O42" s="1" t="s">
        <v>28</v>
      </c>
      <c r="P42" s="6">
        <f t="shared" si="4"/>
        <v>1.125</v>
      </c>
      <c r="Q42" s="6">
        <f t="shared" si="5"/>
        <v>3.7037037037037035E-2</v>
      </c>
      <c r="R42" s="6">
        <f t="shared" si="1"/>
        <v>2.9629629629629631E-2</v>
      </c>
      <c r="S42" s="7">
        <f t="shared" si="2"/>
        <v>16.875</v>
      </c>
      <c r="T42" s="5" t="str">
        <f t="shared" si="6"/>
        <v>met target</v>
      </c>
    </row>
    <row r="43" spans="1:20">
      <c r="A43" s="2">
        <v>46239</v>
      </c>
      <c r="B43" s="1" t="s">
        <v>43</v>
      </c>
      <c r="C43" s="1" t="s">
        <v>44</v>
      </c>
      <c r="D43" s="1" t="s">
        <v>23</v>
      </c>
      <c r="E43" s="1" t="s">
        <v>113</v>
      </c>
      <c r="F43" s="1" t="s">
        <v>25</v>
      </c>
      <c r="G43" s="1" t="s">
        <v>38</v>
      </c>
      <c r="H43" s="1" t="s">
        <v>85</v>
      </c>
      <c r="I43" s="1">
        <v>126</v>
      </c>
      <c r="J43" s="1">
        <v>130</v>
      </c>
      <c r="K43" s="1">
        <v>3</v>
      </c>
      <c r="L43" s="1">
        <v>4</v>
      </c>
      <c r="M43" s="1">
        <v>12</v>
      </c>
      <c r="N43" s="1">
        <v>8</v>
      </c>
      <c r="O43" s="1" t="s">
        <v>35</v>
      </c>
      <c r="P43" s="6">
        <f t="shared" si="4"/>
        <v>0.96923076923076923</v>
      </c>
      <c r="Q43" s="6">
        <f t="shared" si="5"/>
        <v>2.3809523809523808E-2</v>
      </c>
      <c r="R43" s="6">
        <f t="shared" si="1"/>
        <v>3.1746031746031744E-2</v>
      </c>
      <c r="S43" s="7">
        <f t="shared" si="2"/>
        <v>15.75</v>
      </c>
      <c r="T43" s="5" t="str">
        <f t="shared" si="6"/>
        <v>below target</v>
      </c>
    </row>
    <row r="44" spans="1:20">
      <c r="A44" s="2">
        <v>46246</v>
      </c>
      <c r="B44" s="1" t="s">
        <v>39</v>
      </c>
      <c r="C44" s="1" t="s">
        <v>40</v>
      </c>
      <c r="D44" s="1" t="s">
        <v>23</v>
      </c>
      <c r="E44" s="1" t="s">
        <v>114</v>
      </c>
      <c r="F44" s="1" t="s">
        <v>33</v>
      </c>
      <c r="G44" s="1" t="s">
        <v>26</v>
      </c>
      <c r="H44" s="1" t="s">
        <v>90</v>
      </c>
      <c r="I44" s="1">
        <v>99</v>
      </c>
      <c r="J44" s="1">
        <v>90</v>
      </c>
      <c r="K44" s="1">
        <v>3</v>
      </c>
      <c r="L44" s="1">
        <v>5</v>
      </c>
      <c r="M44" s="1">
        <v>51</v>
      </c>
      <c r="N44" s="1">
        <v>8</v>
      </c>
      <c r="O44" s="1" t="s">
        <v>35</v>
      </c>
      <c r="P44" s="6">
        <f t="shared" si="4"/>
        <v>1.1000000000000001</v>
      </c>
      <c r="Q44" s="6">
        <f t="shared" si="5"/>
        <v>3.0303030303030304E-2</v>
      </c>
      <c r="R44" s="6">
        <f t="shared" si="1"/>
        <v>5.0505050505050504E-2</v>
      </c>
      <c r="S44" s="7">
        <f t="shared" si="2"/>
        <v>12.375</v>
      </c>
      <c r="T44" s="5" t="str">
        <f t="shared" si="6"/>
        <v>met target</v>
      </c>
    </row>
    <row r="45" spans="1:20">
      <c r="A45" s="2">
        <v>46238</v>
      </c>
      <c r="B45" s="1" t="s">
        <v>53</v>
      </c>
      <c r="C45" s="1" t="s">
        <v>54</v>
      </c>
      <c r="D45" s="1" t="s">
        <v>23</v>
      </c>
      <c r="E45" s="1" t="s">
        <v>115</v>
      </c>
      <c r="F45" s="1" t="s">
        <v>33</v>
      </c>
      <c r="G45" s="1" t="s">
        <v>47</v>
      </c>
      <c r="H45" s="1" t="s">
        <v>85</v>
      </c>
      <c r="I45" s="1">
        <v>112</v>
      </c>
      <c r="J45" s="1">
        <v>110</v>
      </c>
      <c r="K45" s="1">
        <v>2</v>
      </c>
      <c r="L45" s="1">
        <v>2</v>
      </c>
      <c r="M45" s="1">
        <v>0</v>
      </c>
      <c r="N45" s="1">
        <v>8</v>
      </c>
      <c r="O45" s="1" t="s">
        <v>28</v>
      </c>
      <c r="P45" s="6">
        <f t="shared" si="4"/>
        <v>1.0181818181818181</v>
      </c>
      <c r="Q45" s="6">
        <f t="shared" si="5"/>
        <v>1.7857142857142856E-2</v>
      </c>
      <c r="R45" s="6">
        <f t="shared" si="1"/>
        <v>1.7857142857142856E-2</v>
      </c>
      <c r="S45" s="7">
        <f t="shared" si="2"/>
        <v>14</v>
      </c>
      <c r="T45" s="5" t="str">
        <f t="shared" si="6"/>
        <v>met target</v>
      </c>
    </row>
    <row r="46" spans="1:20">
      <c r="A46" s="2">
        <v>46238</v>
      </c>
      <c r="B46" s="1" t="s">
        <v>30</v>
      </c>
      <c r="C46" s="1" t="s">
        <v>31</v>
      </c>
      <c r="D46" s="1" t="s">
        <v>23</v>
      </c>
      <c r="E46" s="1" t="s">
        <v>80</v>
      </c>
      <c r="F46" s="1" t="s">
        <v>25</v>
      </c>
      <c r="G46" s="1" t="s">
        <v>26</v>
      </c>
      <c r="H46" s="1" t="s">
        <v>27</v>
      </c>
      <c r="I46" s="1">
        <v>136</v>
      </c>
      <c r="J46" s="1">
        <v>120</v>
      </c>
      <c r="K46" s="1">
        <v>9</v>
      </c>
      <c r="L46" s="1">
        <v>8</v>
      </c>
      <c r="M46" s="1">
        <v>18</v>
      </c>
      <c r="N46" s="1">
        <v>8</v>
      </c>
      <c r="O46" s="1" t="s">
        <v>35</v>
      </c>
      <c r="P46" s="6">
        <f t="shared" si="4"/>
        <v>1.1333333333333333</v>
      </c>
      <c r="Q46" s="6">
        <f t="shared" si="5"/>
        <v>6.6176470588235295E-2</v>
      </c>
      <c r="R46" s="6">
        <f t="shared" si="1"/>
        <v>5.8823529411764705E-2</v>
      </c>
      <c r="S46" s="7">
        <f t="shared" si="2"/>
        <v>17</v>
      </c>
      <c r="T46" s="5" t="str">
        <f t="shared" si="6"/>
        <v>met target</v>
      </c>
    </row>
    <row r="47" spans="1:20">
      <c r="A47" s="2">
        <v>46237</v>
      </c>
      <c r="B47" s="1" t="s">
        <v>21</v>
      </c>
      <c r="C47" s="1" t="s">
        <v>22</v>
      </c>
      <c r="D47" s="1" t="s">
        <v>23</v>
      </c>
      <c r="E47" s="1" t="s">
        <v>116</v>
      </c>
      <c r="F47" s="1" t="s">
        <v>42</v>
      </c>
      <c r="G47" s="1" t="s">
        <v>38</v>
      </c>
      <c r="H47" s="1" t="s">
        <v>90</v>
      </c>
      <c r="I47" s="1">
        <v>90</v>
      </c>
      <c r="J47" s="1">
        <v>90</v>
      </c>
      <c r="K47" s="1">
        <v>3</v>
      </c>
      <c r="L47" s="1">
        <v>2</v>
      </c>
      <c r="M47" s="1">
        <v>18</v>
      </c>
      <c r="N47" s="1">
        <v>8</v>
      </c>
      <c r="O47" s="1" t="s">
        <v>28</v>
      </c>
      <c r="P47" s="6">
        <f t="shared" si="4"/>
        <v>1</v>
      </c>
      <c r="Q47" s="6">
        <f t="shared" si="5"/>
        <v>3.3333333333333333E-2</v>
      </c>
      <c r="R47" s="6">
        <f t="shared" si="1"/>
        <v>2.2222222222222223E-2</v>
      </c>
      <c r="S47" s="7">
        <f t="shared" si="2"/>
        <v>11.25</v>
      </c>
      <c r="T47" s="5" t="str">
        <f t="shared" si="6"/>
        <v>met target</v>
      </c>
    </row>
    <row r="48" spans="1:20">
      <c r="A48" s="2">
        <v>46244</v>
      </c>
      <c r="B48" s="1" t="s">
        <v>30</v>
      </c>
      <c r="C48" s="1" t="s">
        <v>31</v>
      </c>
      <c r="D48" s="1" t="s">
        <v>23</v>
      </c>
      <c r="E48" s="1" t="s">
        <v>117</v>
      </c>
      <c r="F48" s="1" t="s">
        <v>25</v>
      </c>
      <c r="G48" s="1" t="s">
        <v>38</v>
      </c>
      <c r="H48" s="1" t="s">
        <v>90</v>
      </c>
      <c r="I48" s="1">
        <v>125</v>
      </c>
      <c r="J48" s="1">
        <v>130</v>
      </c>
      <c r="K48" s="1">
        <v>3</v>
      </c>
      <c r="L48" s="1">
        <v>5</v>
      </c>
      <c r="M48" s="1">
        <v>22</v>
      </c>
      <c r="N48" s="1">
        <v>9</v>
      </c>
      <c r="O48" s="1" t="s">
        <v>35</v>
      </c>
      <c r="P48" s="6">
        <f t="shared" si="4"/>
        <v>0.96153846153846156</v>
      </c>
      <c r="Q48" s="6">
        <f t="shared" si="5"/>
        <v>2.4E-2</v>
      </c>
      <c r="R48" s="6">
        <f t="shared" si="1"/>
        <v>0.04</v>
      </c>
      <c r="S48" s="7">
        <f t="shared" si="2"/>
        <v>13.888888888888889</v>
      </c>
      <c r="T48" s="5" t="str">
        <f t="shared" si="6"/>
        <v>below target</v>
      </c>
    </row>
    <row r="49" spans="1:20">
      <c r="A49" s="2">
        <v>46237</v>
      </c>
      <c r="B49" s="1" t="s">
        <v>30</v>
      </c>
      <c r="C49" s="1" t="s">
        <v>31</v>
      </c>
      <c r="D49" s="1" t="s">
        <v>23</v>
      </c>
      <c r="E49" s="1" t="s">
        <v>118</v>
      </c>
      <c r="F49" s="1" t="s">
        <v>25</v>
      </c>
      <c r="G49" s="1" t="s">
        <v>47</v>
      </c>
      <c r="H49" s="1" t="s">
        <v>85</v>
      </c>
      <c r="I49" s="1">
        <v>99</v>
      </c>
      <c r="J49" s="1">
        <v>100</v>
      </c>
      <c r="K49" s="1">
        <v>7</v>
      </c>
      <c r="L49" s="1">
        <v>6</v>
      </c>
      <c r="M49" s="1">
        <v>9</v>
      </c>
      <c r="N49" s="1">
        <v>8.5</v>
      </c>
      <c r="O49" s="1" t="s">
        <v>35</v>
      </c>
      <c r="P49" s="6">
        <f t="shared" si="4"/>
        <v>0.99</v>
      </c>
      <c r="Q49" s="6">
        <f t="shared" si="5"/>
        <v>7.0707070707070704E-2</v>
      </c>
      <c r="R49" s="6">
        <f t="shared" si="1"/>
        <v>6.0606060606060608E-2</v>
      </c>
      <c r="S49" s="7">
        <f t="shared" si="2"/>
        <v>11.647058823529411</v>
      </c>
      <c r="T49" s="5" t="str">
        <f t="shared" si="6"/>
        <v>below target</v>
      </c>
    </row>
    <row r="50" spans="1:20">
      <c r="A50" s="2">
        <v>46238</v>
      </c>
      <c r="B50" s="1" t="s">
        <v>21</v>
      </c>
      <c r="C50" s="1" t="s">
        <v>22</v>
      </c>
      <c r="D50" s="1" t="s">
        <v>23</v>
      </c>
      <c r="E50" s="1" t="s">
        <v>79</v>
      </c>
      <c r="F50" s="1" t="s">
        <v>25</v>
      </c>
      <c r="G50" s="1" t="s">
        <v>34</v>
      </c>
      <c r="H50" s="1" t="s">
        <v>27</v>
      </c>
      <c r="I50" s="1">
        <v>129</v>
      </c>
      <c r="J50" s="1">
        <v>120</v>
      </c>
      <c r="K50" s="1">
        <v>3</v>
      </c>
      <c r="L50" s="1">
        <v>3</v>
      </c>
      <c r="M50" s="1">
        <v>30</v>
      </c>
      <c r="N50" s="1">
        <v>8.5</v>
      </c>
      <c r="O50" s="1" t="s">
        <v>28</v>
      </c>
      <c r="P50" s="6">
        <f t="shared" si="4"/>
        <v>1.075</v>
      </c>
      <c r="Q50" s="6">
        <f t="shared" si="5"/>
        <v>2.3255813953488372E-2</v>
      </c>
      <c r="R50" s="6">
        <f>L50/I50</f>
        <v>2.3255813953488372E-2</v>
      </c>
      <c r="S50" s="7">
        <f t="shared" si="2"/>
        <v>15.176470588235293</v>
      </c>
      <c r="T50" s="5" t="str">
        <f t="shared" si="6"/>
        <v>met target</v>
      </c>
    </row>
    <row r="51" spans="1:20">
      <c r="A51" s="2">
        <v>46237</v>
      </c>
      <c r="B51" s="1" t="s">
        <v>49</v>
      </c>
      <c r="C51" s="1" t="s">
        <v>50</v>
      </c>
      <c r="D51" s="1" t="s">
        <v>23</v>
      </c>
      <c r="E51" s="1" t="s">
        <v>119</v>
      </c>
      <c r="F51" s="1" t="s">
        <v>42</v>
      </c>
      <c r="G51" s="1" t="s">
        <v>26</v>
      </c>
      <c r="H51" s="1" t="s">
        <v>90</v>
      </c>
      <c r="I51" s="1">
        <v>139</v>
      </c>
      <c r="J51" s="1">
        <v>130</v>
      </c>
      <c r="K51" s="1">
        <v>1</v>
      </c>
      <c r="L51" s="1">
        <v>1</v>
      </c>
      <c r="M51" s="1">
        <v>14</v>
      </c>
      <c r="N51" s="1">
        <v>8</v>
      </c>
      <c r="O51" s="1" t="s">
        <v>28</v>
      </c>
      <c r="P51" s="6">
        <f t="shared" si="4"/>
        <v>1.0692307692307692</v>
      </c>
      <c r="Q51" s="6">
        <f t="shared" si="5"/>
        <v>7.1942446043165471E-3</v>
      </c>
      <c r="R51" s="6">
        <f t="shared" si="1"/>
        <v>7.1942446043165471E-3</v>
      </c>
      <c r="S51" s="7">
        <f t="shared" si="2"/>
        <v>17.375</v>
      </c>
      <c r="T51" s="5" t="str">
        <f t="shared" si="6"/>
        <v>met target</v>
      </c>
    </row>
    <row r="52" spans="1:20">
      <c r="A52" s="2">
        <v>46238</v>
      </c>
      <c r="B52" s="1" t="s">
        <v>53</v>
      </c>
      <c r="C52" s="1" t="s">
        <v>54</v>
      </c>
      <c r="D52" s="1" t="s">
        <v>23</v>
      </c>
      <c r="E52" s="1" t="s">
        <v>120</v>
      </c>
      <c r="F52" s="1" t="s">
        <v>42</v>
      </c>
      <c r="G52" s="1" t="s">
        <v>34</v>
      </c>
      <c r="H52" s="1" t="s">
        <v>90</v>
      </c>
      <c r="I52" s="1">
        <v>103</v>
      </c>
      <c r="J52" s="1">
        <v>100</v>
      </c>
      <c r="K52" s="1">
        <v>4</v>
      </c>
      <c r="L52" s="1">
        <v>4</v>
      </c>
      <c r="M52" s="1">
        <v>17</v>
      </c>
      <c r="N52" s="1">
        <v>7.5</v>
      </c>
      <c r="O52" s="1" t="s">
        <v>28</v>
      </c>
      <c r="P52" s="6">
        <f t="shared" si="4"/>
        <v>1.03</v>
      </c>
      <c r="Q52" s="6">
        <f t="shared" si="5"/>
        <v>3.8834951456310676E-2</v>
      </c>
      <c r="R52" s="6">
        <f t="shared" si="1"/>
        <v>3.8834951456310676E-2</v>
      </c>
      <c r="S52" s="7">
        <f t="shared" si="2"/>
        <v>13.733333333333333</v>
      </c>
      <c r="T52" s="5" t="str">
        <f t="shared" si="6"/>
        <v>met target</v>
      </c>
    </row>
    <row r="53" spans="1:20">
      <c r="A53" s="2">
        <v>46238</v>
      </c>
      <c r="B53" s="1" t="s">
        <v>53</v>
      </c>
      <c r="C53" s="1" t="s">
        <v>54</v>
      </c>
      <c r="D53" s="1" t="s">
        <v>23</v>
      </c>
      <c r="E53" s="1" t="s">
        <v>78</v>
      </c>
      <c r="F53" s="1" t="s">
        <v>42</v>
      </c>
      <c r="G53" s="1" t="s">
        <v>34</v>
      </c>
      <c r="H53" s="1" t="s">
        <v>27</v>
      </c>
      <c r="I53" s="1">
        <v>124</v>
      </c>
      <c r="J53" s="1">
        <v>130</v>
      </c>
      <c r="K53" s="1">
        <v>4</v>
      </c>
      <c r="L53" s="1">
        <v>3</v>
      </c>
      <c r="M53" s="1">
        <v>0</v>
      </c>
      <c r="N53" s="1">
        <v>8</v>
      </c>
      <c r="O53" s="1" t="s">
        <v>28</v>
      </c>
      <c r="P53" s="6">
        <f t="shared" si="4"/>
        <v>0.9538461538461539</v>
      </c>
      <c r="Q53" s="6">
        <f t="shared" si="5"/>
        <v>3.2258064516129031E-2</v>
      </c>
      <c r="R53" s="6">
        <f t="shared" si="1"/>
        <v>2.4193548387096774E-2</v>
      </c>
      <c r="S53" s="7">
        <f t="shared" si="2"/>
        <v>15.5</v>
      </c>
      <c r="T53" s="5" t="str">
        <f t="shared" si="6"/>
        <v>below target</v>
      </c>
    </row>
    <row r="54" spans="1:20">
      <c r="A54" s="2">
        <v>46238</v>
      </c>
      <c r="B54" s="1" t="s">
        <v>56</v>
      </c>
      <c r="C54" s="1" t="s">
        <v>57</v>
      </c>
      <c r="D54" s="1" t="s">
        <v>23</v>
      </c>
      <c r="E54" s="1" t="s">
        <v>121</v>
      </c>
      <c r="F54" s="1" t="s">
        <v>42</v>
      </c>
      <c r="G54" s="1" t="s">
        <v>47</v>
      </c>
      <c r="H54" s="1" t="s">
        <v>85</v>
      </c>
      <c r="I54" s="1">
        <v>117</v>
      </c>
      <c r="J54" s="1">
        <v>110</v>
      </c>
      <c r="K54" s="1">
        <v>6</v>
      </c>
      <c r="L54" s="1">
        <v>6</v>
      </c>
      <c r="M54" s="1">
        <v>5</v>
      </c>
      <c r="N54" s="1">
        <v>8</v>
      </c>
      <c r="O54" s="1" t="s">
        <v>35</v>
      </c>
      <c r="P54" s="6">
        <f t="shared" si="4"/>
        <v>1.0636363636363637</v>
      </c>
      <c r="Q54" s="6">
        <f t="shared" si="5"/>
        <v>5.128205128205128E-2</v>
      </c>
      <c r="R54" s="6">
        <f t="shared" si="1"/>
        <v>5.128205128205128E-2</v>
      </c>
      <c r="S54" s="7">
        <f t="shared" si="2"/>
        <v>14.625</v>
      </c>
      <c r="T54" s="5" t="str">
        <f t="shared" si="6"/>
        <v>met target</v>
      </c>
    </row>
    <row r="55" spans="1:20">
      <c r="A55" s="2">
        <v>46245</v>
      </c>
      <c r="B55" s="1" t="s">
        <v>71</v>
      </c>
      <c r="C55" s="1" t="s">
        <v>72</v>
      </c>
      <c r="D55" s="1" t="s">
        <v>23</v>
      </c>
      <c r="E55" s="1" t="s">
        <v>77</v>
      </c>
      <c r="F55" s="1" t="s">
        <v>33</v>
      </c>
      <c r="G55" s="1" t="s">
        <v>38</v>
      </c>
      <c r="H55" s="1" t="s">
        <v>27</v>
      </c>
      <c r="I55" s="1">
        <v>116</v>
      </c>
      <c r="J55" s="1">
        <v>120</v>
      </c>
      <c r="K55" s="1">
        <v>1</v>
      </c>
      <c r="L55" s="1">
        <v>0</v>
      </c>
      <c r="M55" s="1">
        <v>4</v>
      </c>
      <c r="N55" s="1">
        <v>7.5</v>
      </c>
      <c r="O55" s="1" t="s">
        <v>28</v>
      </c>
      <c r="P55" s="6">
        <f t="shared" si="4"/>
        <v>0.96666666666666667</v>
      </c>
      <c r="Q55" s="6">
        <f t="shared" si="5"/>
        <v>8.6206896551724137E-3</v>
      </c>
      <c r="R55" s="6">
        <f t="shared" si="1"/>
        <v>0</v>
      </c>
      <c r="S55" s="7">
        <f t="shared" si="2"/>
        <v>15.466666666666667</v>
      </c>
      <c r="T55" s="5" t="str">
        <f t="shared" si="6"/>
        <v>below target</v>
      </c>
    </row>
    <row r="56" spans="1:20">
      <c r="A56" s="2">
        <v>46241</v>
      </c>
      <c r="B56" s="1" t="s">
        <v>21</v>
      </c>
      <c r="C56" s="1" t="s">
        <v>22</v>
      </c>
      <c r="D56" s="1" t="s">
        <v>23</v>
      </c>
      <c r="E56" s="1" t="s">
        <v>76</v>
      </c>
      <c r="F56" s="1" t="s">
        <v>42</v>
      </c>
      <c r="G56" s="1" t="s">
        <v>26</v>
      </c>
      <c r="H56" s="1" t="s">
        <v>27</v>
      </c>
      <c r="I56" s="1">
        <v>139</v>
      </c>
      <c r="J56" s="1">
        <v>130</v>
      </c>
      <c r="K56" s="1">
        <v>6</v>
      </c>
      <c r="L56" s="1">
        <v>6</v>
      </c>
      <c r="M56" s="1">
        <v>17</v>
      </c>
      <c r="N56" s="1">
        <v>8</v>
      </c>
      <c r="O56" s="1" t="s">
        <v>28</v>
      </c>
      <c r="P56" s="6">
        <f t="shared" si="4"/>
        <v>1.0692307692307692</v>
      </c>
      <c r="Q56" s="6">
        <f t="shared" si="5"/>
        <v>4.3165467625899283E-2</v>
      </c>
      <c r="R56" s="6">
        <f t="shared" si="1"/>
        <v>4.3165467625899283E-2</v>
      </c>
      <c r="S56" s="7">
        <f t="shared" si="2"/>
        <v>17.375</v>
      </c>
      <c r="T56" s="5" t="str">
        <f t="shared" si="6"/>
        <v>met target</v>
      </c>
    </row>
    <row r="57" spans="1:20">
      <c r="A57" s="2">
        <v>46237</v>
      </c>
      <c r="B57" s="1" t="s">
        <v>53</v>
      </c>
      <c r="C57" s="1" t="s">
        <v>54</v>
      </c>
      <c r="D57" s="1" t="s">
        <v>23</v>
      </c>
      <c r="E57" s="1" t="s">
        <v>75</v>
      </c>
      <c r="F57" s="1" t="s">
        <v>25</v>
      </c>
      <c r="G57" s="1" t="s">
        <v>47</v>
      </c>
      <c r="H57" s="1" t="s">
        <v>27</v>
      </c>
      <c r="I57" s="1">
        <v>119</v>
      </c>
      <c r="J57" s="1">
        <v>130</v>
      </c>
      <c r="K57" s="1">
        <v>6</v>
      </c>
      <c r="L57" s="1">
        <v>8</v>
      </c>
      <c r="M57" s="1">
        <v>17</v>
      </c>
      <c r="N57" s="1">
        <v>8.5</v>
      </c>
      <c r="O57" s="1" t="s">
        <v>28</v>
      </c>
      <c r="P57" s="6">
        <f t="shared" si="4"/>
        <v>0.91538461538461535</v>
      </c>
      <c r="Q57" s="6">
        <f t="shared" si="5"/>
        <v>5.0420168067226892E-2</v>
      </c>
      <c r="R57" s="6">
        <f t="shared" si="1"/>
        <v>6.7226890756302518E-2</v>
      </c>
      <c r="S57" s="7">
        <f t="shared" si="2"/>
        <v>14</v>
      </c>
      <c r="T57" s="5" t="str">
        <f t="shared" si="6"/>
        <v>below target</v>
      </c>
    </row>
    <row r="58" spans="1:20">
      <c r="A58" s="2">
        <v>46240</v>
      </c>
      <c r="B58" s="1" t="s">
        <v>21</v>
      </c>
      <c r="C58" s="1" t="s">
        <v>22</v>
      </c>
      <c r="D58" s="1" t="s">
        <v>23</v>
      </c>
      <c r="E58" s="1" t="s">
        <v>68</v>
      </c>
      <c r="F58" s="1" t="s">
        <v>33</v>
      </c>
      <c r="G58" s="1" t="s">
        <v>47</v>
      </c>
      <c r="H58" s="1" t="s">
        <v>27</v>
      </c>
      <c r="I58" s="1">
        <v>115</v>
      </c>
      <c r="J58" s="1">
        <v>120</v>
      </c>
      <c r="K58" s="1">
        <v>9</v>
      </c>
      <c r="L58" s="1">
        <v>11</v>
      </c>
      <c r="M58" s="1">
        <v>27</v>
      </c>
      <c r="N58" s="1">
        <v>8.5</v>
      </c>
      <c r="O58" s="1" t="s">
        <v>28</v>
      </c>
      <c r="P58" s="6">
        <f t="shared" si="4"/>
        <v>0.95833333333333337</v>
      </c>
      <c r="Q58" s="6">
        <f t="shared" si="5"/>
        <v>7.8260869565217397E-2</v>
      </c>
      <c r="R58" s="6">
        <f t="shared" si="1"/>
        <v>9.5652173913043481E-2</v>
      </c>
      <c r="S58" s="7">
        <f t="shared" si="2"/>
        <v>13.529411764705882</v>
      </c>
      <c r="T58" s="5" t="str">
        <f t="shared" si="6"/>
        <v>below target</v>
      </c>
    </row>
    <row r="59" spans="1:20">
      <c r="A59" s="2">
        <v>46240</v>
      </c>
      <c r="B59" s="1" t="s">
        <v>43</v>
      </c>
      <c r="C59" s="1" t="s">
        <v>44</v>
      </c>
      <c r="D59" s="1" t="s">
        <v>23</v>
      </c>
      <c r="E59" s="1" t="s">
        <v>122</v>
      </c>
      <c r="F59" s="1" t="s">
        <v>25</v>
      </c>
      <c r="G59" s="1" t="s">
        <v>26</v>
      </c>
      <c r="H59" s="1" t="s">
        <v>85</v>
      </c>
      <c r="I59" s="1">
        <v>93</v>
      </c>
      <c r="J59" s="1">
        <v>100</v>
      </c>
      <c r="K59" s="1">
        <v>2</v>
      </c>
      <c r="L59" s="1">
        <v>4</v>
      </c>
      <c r="M59" s="1">
        <v>6</v>
      </c>
      <c r="N59" s="1">
        <v>8</v>
      </c>
      <c r="O59" s="1" t="s">
        <v>35</v>
      </c>
      <c r="P59" s="6">
        <f t="shared" si="4"/>
        <v>0.93</v>
      </c>
      <c r="Q59" s="6">
        <f t="shared" si="5"/>
        <v>2.1505376344086023E-2</v>
      </c>
      <c r="R59" s="6">
        <f t="shared" si="1"/>
        <v>4.3010752688172046E-2</v>
      </c>
      <c r="S59" s="7">
        <f t="shared" si="2"/>
        <v>11.625</v>
      </c>
      <c r="T59" s="5" t="str">
        <f t="shared" si="6"/>
        <v>below target</v>
      </c>
    </row>
    <row r="60" spans="1:20">
      <c r="A60" s="2">
        <v>46239</v>
      </c>
      <c r="B60" s="1" t="s">
        <v>30</v>
      </c>
      <c r="C60" s="1" t="s">
        <v>31</v>
      </c>
      <c r="D60" s="1" t="s">
        <v>23</v>
      </c>
      <c r="E60" s="1" t="s">
        <v>123</v>
      </c>
      <c r="F60" s="1" t="s">
        <v>25</v>
      </c>
      <c r="G60" s="1" t="s">
        <v>38</v>
      </c>
      <c r="H60" s="1" t="s">
        <v>85</v>
      </c>
      <c r="I60" s="1">
        <v>99</v>
      </c>
      <c r="J60" s="1">
        <v>100</v>
      </c>
      <c r="K60" s="1">
        <v>7</v>
      </c>
      <c r="L60" s="1">
        <v>7</v>
      </c>
      <c r="M60" s="1">
        <v>31</v>
      </c>
      <c r="N60" s="1">
        <v>9</v>
      </c>
      <c r="O60" s="1" t="s">
        <v>35</v>
      </c>
      <c r="P60" s="6">
        <f t="shared" si="4"/>
        <v>0.99</v>
      </c>
      <c r="Q60" s="6">
        <f t="shared" si="5"/>
        <v>7.0707070707070704E-2</v>
      </c>
      <c r="R60" s="6">
        <f t="shared" si="1"/>
        <v>7.0707070707070704E-2</v>
      </c>
      <c r="S60" s="7">
        <f t="shared" si="2"/>
        <v>11</v>
      </c>
      <c r="T60" s="5" t="str">
        <f t="shared" si="6"/>
        <v>below target</v>
      </c>
    </row>
    <row r="61" spans="1:20">
      <c r="A61" s="2">
        <v>46241</v>
      </c>
      <c r="B61" s="1" t="s">
        <v>49</v>
      </c>
      <c r="C61" s="1" t="s">
        <v>50</v>
      </c>
      <c r="D61" s="1" t="s">
        <v>23</v>
      </c>
      <c r="E61" s="1" t="s">
        <v>124</v>
      </c>
      <c r="F61" s="1" t="s">
        <v>33</v>
      </c>
      <c r="G61" s="1" t="s">
        <v>26</v>
      </c>
      <c r="H61" s="1" t="s">
        <v>90</v>
      </c>
      <c r="I61" s="1">
        <v>112</v>
      </c>
      <c r="J61" s="1">
        <v>110</v>
      </c>
      <c r="K61" s="1">
        <v>3</v>
      </c>
      <c r="L61" s="1">
        <v>5</v>
      </c>
      <c r="M61" s="1">
        <v>40</v>
      </c>
      <c r="N61" s="1">
        <v>8.5</v>
      </c>
      <c r="O61" s="1" t="s">
        <v>28</v>
      </c>
      <c r="P61" s="6">
        <f t="shared" si="4"/>
        <v>1.0181818181818181</v>
      </c>
      <c r="Q61" s="6">
        <f t="shared" si="5"/>
        <v>2.6785714285714284E-2</v>
      </c>
      <c r="R61" s="6">
        <f t="shared" si="1"/>
        <v>4.4642857142857144E-2</v>
      </c>
      <c r="S61" s="7">
        <f t="shared" si="2"/>
        <v>13.176470588235293</v>
      </c>
      <c r="T61" s="5" t="str">
        <f t="shared" si="6"/>
        <v>met target</v>
      </c>
    </row>
    <row r="62" spans="1:20">
      <c r="A62" s="2">
        <v>46248</v>
      </c>
      <c r="B62" s="1" t="s">
        <v>49</v>
      </c>
      <c r="C62" s="1" t="s">
        <v>50</v>
      </c>
      <c r="D62" s="1" t="s">
        <v>23</v>
      </c>
      <c r="E62" s="1" t="s">
        <v>67</v>
      </c>
      <c r="F62" s="1" t="s">
        <v>25</v>
      </c>
      <c r="G62" s="1" t="s">
        <v>38</v>
      </c>
      <c r="H62" s="1" t="s">
        <v>27</v>
      </c>
      <c r="I62" s="1">
        <v>82</v>
      </c>
      <c r="J62" s="1">
        <v>100</v>
      </c>
      <c r="K62" s="1">
        <v>6</v>
      </c>
      <c r="L62" s="1">
        <v>7</v>
      </c>
      <c r="M62" s="1">
        <v>22</v>
      </c>
      <c r="N62" s="1">
        <v>8</v>
      </c>
      <c r="O62" s="1" t="s">
        <v>28</v>
      </c>
      <c r="P62" s="6">
        <f t="shared" si="4"/>
        <v>0.82</v>
      </c>
      <c r="Q62" s="6">
        <f t="shared" si="5"/>
        <v>7.3170731707317069E-2</v>
      </c>
      <c r="R62" s="6">
        <f t="shared" si="1"/>
        <v>8.5365853658536592E-2</v>
      </c>
      <c r="S62" s="7">
        <f t="shared" si="2"/>
        <v>10.25</v>
      </c>
      <c r="T62" s="5" t="str">
        <f t="shared" si="6"/>
        <v>below target</v>
      </c>
    </row>
    <row r="63" spans="1:20">
      <c r="A63" s="2">
        <v>46247</v>
      </c>
      <c r="B63" s="1" t="s">
        <v>30</v>
      </c>
      <c r="C63" s="1" t="s">
        <v>31</v>
      </c>
      <c r="D63" s="1" t="s">
        <v>23</v>
      </c>
      <c r="E63" s="1" t="s">
        <v>66</v>
      </c>
      <c r="F63" s="1" t="s">
        <v>33</v>
      </c>
      <c r="G63" s="1" t="s">
        <v>38</v>
      </c>
      <c r="H63" s="1" t="s">
        <v>27</v>
      </c>
      <c r="I63" s="1">
        <v>86</v>
      </c>
      <c r="J63" s="1">
        <v>90</v>
      </c>
      <c r="K63" s="1">
        <v>7</v>
      </c>
      <c r="L63" s="1">
        <v>7</v>
      </c>
      <c r="M63" s="1">
        <v>17</v>
      </c>
      <c r="N63" s="1">
        <v>8</v>
      </c>
      <c r="O63" s="1" t="s">
        <v>35</v>
      </c>
      <c r="P63" s="6">
        <f t="shared" si="4"/>
        <v>0.9555555555555556</v>
      </c>
      <c r="Q63" s="6">
        <f t="shared" si="5"/>
        <v>8.1395348837209308E-2</v>
      </c>
      <c r="R63" s="6">
        <f t="shared" si="1"/>
        <v>8.1395348837209308E-2</v>
      </c>
      <c r="S63" s="7">
        <f t="shared" si="2"/>
        <v>10.75</v>
      </c>
      <c r="T63" s="5" t="str">
        <f t="shared" si="6"/>
        <v>below target</v>
      </c>
    </row>
    <row r="64" spans="1:20">
      <c r="A64" s="2">
        <v>46244</v>
      </c>
      <c r="B64" s="1" t="s">
        <v>49</v>
      </c>
      <c r="C64" s="1" t="s">
        <v>50</v>
      </c>
      <c r="D64" s="1" t="s">
        <v>23</v>
      </c>
      <c r="E64" s="1" t="s">
        <v>65</v>
      </c>
      <c r="F64" s="1" t="s">
        <v>42</v>
      </c>
      <c r="G64" s="1" t="s">
        <v>26</v>
      </c>
      <c r="H64" s="1" t="s">
        <v>27</v>
      </c>
      <c r="I64" s="1">
        <v>127</v>
      </c>
      <c r="J64" s="1">
        <v>130</v>
      </c>
      <c r="K64" s="1">
        <v>4</v>
      </c>
      <c r="L64" s="1">
        <v>4</v>
      </c>
      <c r="M64" s="1">
        <v>0</v>
      </c>
      <c r="N64" s="1">
        <v>9</v>
      </c>
      <c r="O64" s="1" t="s">
        <v>28</v>
      </c>
      <c r="P64" s="6">
        <f t="shared" si="4"/>
        <v>0.97692307692307689</v>
      </c>
      <c r="Q64" s="6">
        <f t="shared" si="5"/>
        <v>3.1496062992125984E-2</v>
      </c>
      <c r="R64" s="6">
        <f t="shared" si="1"/>
        <v>3.1496062992125984E-2</v>
      </c>
      <c r="S64" s="7">
        <f t="shared" si="2"/>
        <v>14.111111111111111</v>
      </c>
      <c r="T64" s="5" t="str">
        <f t="shared" si="6"/>
        <v>below target</v>
      </c>
    </row>
    <row r="65" spans="1:20">
      <c r="A65" s="2">
        <v>46244</v>
      </c>
      <c r="B65" s="1" t="s">
        <v>56</v>
      </c>
      <c r="C65" s="1" t="s">
        <v>57</v>
      </c>
      <c r="D65" s="1" t="s">
        <v>23</v>
      </c>
      <c r="E65" s="1" t="s">
        <v>125</v>
      </c>
      <c r="F65" s="1" t="s">
        <v>25</v>
      </c>
      <c r="G65" s="1" t="s">
        <v>34</v>
      </c>
      <c r="H65" s="1" t="s">
        <v>90</v>
      </c>
      <c r="I65" s="1">
        <v>98</v>
      </c>
      <c r="J65" s="1">
        <v>120</v>
      </c>
      <c r="K65" s="1">
        <v>7</v>
      </c>
      <c r="L65" s="1">
        <v>7</v>
      </c>
      <c r="M65" s="1">
        <v>12</v>
      </c>
      <c r="N65" s="1">
        <v>9</v>
      </c>
      <c r="O65" s="1" t="s">
        <v>35</v>
      </c>
      <c r="P65" s="6">
        <f t="shared" si="4"/>
        <v>0.81666666666666665</v>
      </c>
      <c r="Q65" s="6">
        <f t="shared" si="5"/>
        <v>7.1428571428571425E-2</v>
      </c>
      <c r="R65" s="6">
        <f t="shared" si="1"/>
        <v>7.1428571428571425E-2</v>
      </c>
      <c r="S65" s="7">
        <f t="shared" si="2"/>
        <v>10.888888888888889</v>
      </c>
      <c r="T65" s="5" t="str">
        <f t="shared" si="6"/>
        <v>below target</v>
      </c>
    </row>
    <row r="66" spans="1:20">
      <c r="A66" s="2">
        <v>46239</v>
      </c>
      <c r="B66" s="1" t="s">
        <v>49</v>
      </c>
      <c r="C66" s="1" t="s">
        <v>50</v>
      </c>
      <c r="D66" s="1" t="s">
        <v>23</v>
      </c>
      <c r="E66" s="1" t="s">
        <v>126</v>
      </c>
      <c r="F66" s="1" t="s">
        <v>42</v>
      </c>
      <c r="G66" s="1" t="s">
        <v>34</v>
      </c>
      <c r="H66" s="1" t="s">
        <v>85</v>
      </c>
      <c r="I66" s="1">
        <v>95</v>
      </c>
      <c r="J66" s="1">
        <v>120</v>
      </c>
      <c r="K66" s="1">
        <v>9</v>
      </c>
      <c r="L66" s="1">
        <v>10</v>
      </c>
      <c r="M66" s="1">
        <v>23</v>
      </c>
      <c r="N66" s="1">
        <v>8</v>
      </c>
      <c r="O66" s="1" t="s">
        <v>28</v>
      </c>
      <c r="P66" s="6">
        <f t="shared" si="4"/>
        <v>0.79166666666666663</v>
      </c>
      <c r="Q66" s="6">
        <f t="shared" ref="Q66:Q91" si="7">K66/I66</f>
        <v>9.4736842105263161E-2</v>
      </c>
      <c r="R66" s="6">
        <f t="shared" ref="R66:R91" si="8">L66/I66</f>
        <v>0.10526315789473684</v>
      </c>
      <c r="S66" s="7">
        <f t="shared" ref="S66:S91" si="9">I66/N66</f>
        <v>11.875</v>
      </c>
      <c r="T66" s="5" t="str">
        <f t="shared" ref="T66:T91" si="10">IF(I66&lt;J66,"below target","met target")</f>
        <v>below target</v>
      </c>
    </row>
    <row r="67" spans="1:20">
      <c r="A67" s="2">
        <v>46247</v>
      </c>
      <c r="B67" s="1" t="s">
        <v>49</v>
      </c>
      <c r="C67" s="1" t="s">
        <v>50</v>
      </c>
      <c r="D67" s="1" t="s">
        <v>23</v>
      </c>
      <c r="E67" s="1" t="s">
        <v>127</v>
      </c>
      <c r="F67" s="1" t="s">
        <v>33</v>
      </c>
      <c r="G67" s="1" t="s">
        <v>26</v>
      </c>
      <c r="H67" s="1" t="s">
        <v>85</v>
      </c>
      <c r="I67" s="1">
        <v>136</v>
      </c>
      <c r="J67" s="1">
        <v>120</v>
      </c>
      <c r="K67" s="1">
        <v>4</v>
      </c>
      <c r="L67" s="1">
        <v>4</v>
      </c>
      <c r="M67" s="1">
        <v>3</v>
      </c>
      <c r="N67" s="1">
        <v>8.5</v>
      </c>
      <c r="O67" s="1" t="s">
        <v>28</v>
      </c>
      <c r="P67" s="6">
        <f t="shared" ref="P67:P91" si="11">I67/J67</f>
        <v>1.1333333333333333</v>
      </c>
      <c r="Q67" s="6">
        <f t="shared" si="7"/>
        <v>2.9411764705882353E-2</v>
      </c>
      <c r="R67" s="6">
        <f t="shared" si="8"/>
        <v>2.9411764705882353E-2</v>
      </c>
      <c r="S67" s="7">
        <f t="shared" si="9"/>
        <v>16</v>
      </c>
      <c r="T67" s="5" t="str">
        <f t="shared" si="10"/>
        <v>met target</v>
      </c>
    </row>
    <row r="68" spans="1:20">
      <c r="A68" s="2">
        <v>46241</v>
      </c>
      <c r="B68" s="1" t="s">
        <v>49</v>
      </c>
      <c r="C68" s="1" t="s">
        <v>50</v>
      </c>
      <c r="D68" s="1" t="s">
        <v>23</v>
      </c>
      <c r="E68" s="1" t="s">
        <v>128</v>
      </c>
      <c r="F68" s="1" t="s">
        <v>25</v>
      </c>
      <c r="G68" s="1" t="s">
        <v>34</v>
      </c>
      <c r="H68" s="1" t="s">
        <v>85</v>
      </c>
      <c r="I68" s="1">
        <v>65</v>
      </c>
      <c r="J68" s="1">
        <v>100</v>
      </c>
      <c r="K68" s="1">
        <v>7</v>
      </c>
      <c r="L68" s="1">
        <v>6</v>
      </c>
      <c r="M68" s="1">
        <v>35</v>
      </c>
      <c r="N68" s="1">
        <v>8.5</v>
      </c>
      <c r="O68" s="1" t="s">
        <v>28</v>
      </c>
      <c r="P68" s="6">
        <f t="shared" si="11"/>
        <v>0.65</v>
      </c>
      <c r="Q68" s="6">
        <f t="shared" si="7"/>
        <v>0.1076923076923077</v>
      </c>
      <c r="R68" s="6">
        <f t="shared" si="8"/>
        <v>9.2307692307692313E-2</v>
      </c>
      <c r="S68" s="7">
        <f t="shared" si="9"/>
        <v>7.6470588235294121</v>
      </c>
      <c r="T68" s="5" t="str">
        <f t="shared" si="10"/>
        <v>below target</v>
      </c>
    </row>
    <row r="69" spans="1:20">
      <c r="A69" s="2">
        <v>46244</v>
      </c>
      <c r="B69" s="1" t="s">
        <v>30</v>
      </c>
      <c r="C69" s="1" t="s">
        <v>31</v>
      </c>
      <c r="D69" s="1" t="s">
        <v>23</v>
      </c>
      <c r="E69" s="1" t="s">
        <v>129</v>
      </c>
      <c r="F69" s="1" t="s">
        <v>42</v>
      </c>
      <c r="G69" s="1" t="s">
        <v>38</v>
      </c>
      <c r="H69" s="1" t="s">
        <v>85</v>
      </c>
      <c r="I69" s="1">
        <v>112</v>
      </c>
      <c r="J69" s="1">
        <v>130</v>
      </c>
      <c r="K69" s="1">
        <v>5</v>
      </c>
      <c r="L69" s="1">
        <v>5</v>
      </c>
      <c r="M69" s="1">
        <v>9</v>
      </c>
      <c r="N69" s="1">
        <v>8.5</v>
      </c>
      <c r="O69" s="1" t="s">
        <v>35</v>
      </c>
      <c r="P69" s="6">
        <f t="shared" si="11"/>
        <v>0.86153846153846159</v>
      </c>
      <c r="Q69" s="6">
        <f t="shared" si="7"/>
        <v>4.4642857142857144E-2</v>
      </c>
      <c r="R69" s="6">
        <f t="shared" si="8"/>
        <v>4.4642857142857144E-2</v>
      </c>
      <c r="S69" s="7">
        <f t="shared" si="9"/>
        <v>13.176470588235293</v>
      </c>
      <c r="T69" s="5" t="str">
        <f t="shared" si="10"/>
        <v>below target</v>
      </c>
    </row>
    <row r="70" spans="1:20">
      <c r="A70" s="2">
        <v>46248</v>
      </c>
      <c r="B70" s="1" t="s">
        <v>30</v>
      </c>
      <c r="C70" s="1" t="s">
        <v>31</v>
      </c>
      <c r="D70" s="1" t="s">
        <v>23</v>
      </c>
      <c r="E70" s="1" t="s">
        <v>63</v>
      </c>
      <c r="F70" s="1" t="s">
        <v>33</v>
      </c>
      <c r="G70" s="1" t="s">
        <v>26</v>
      </c>
      <c r="H70" s="1" t="s">
        <v>27</v>
      </c>
      <c r="I70" s="1">
        <v>86</v>
      </c>
      <c r="J70" s="1">
        <v>100</v>
      </c>
      <c r="K70" s="1">
        <v>8</v>
      </c>
      <c r="L70" s="1">
        <v>8</v>
      </c>
      <c r="M70" s="1">
        <v>13</v>
      </c>
      <c r="N70" s="1">
        <v>7.5</v>
      </c>
      <c r="O70" s="1" t="s">
        <v>35</v>
      </c>
      <c r="P70" s="6">
        <f t="shared" si="11"/>
        <v>0.86</v>
      </c>
      <c r="Q70" s="6">
        <f t="shared" si="7"/>
        <v>9.3023255813953487E-2</v>
      </c>
      <c r="R70" s="6">
        <f t="shared" si="8"/>
        <v>9.3023255813953487E-2</v>
      </c>
      <c r="S70" s="7">
        <f t="shared" si="9"/>
        <v>11.466666666666667</v>
      </c>
      <c r="T70" s="5" t="str">
        <f t="shared" si="10"/>
        <v>below target</v>
      </c>
    </row>
    <row r="71" spans="1:20">
      <c r="A71" s="2">
        <v>46247</v>
      </c>
      <c r="B71" s="1" t="s">
        <v>53</v>
      </c>
      <c r="C71" s="1" t="s">
        <v>54</v>
      </c>
      <c r="D71" s="1" t="s">
        <v>23</v>
      </c>
      <c r="E71" s="1" t="s">
        <v>130</v>
      </c>
      <c r="F71" s="1" t="s">
        <v>42</v>
      </c>
      <c r="G71" s="1" t="s">
        <v>47</v>
      </c>
      <c r="H71" s="1" t="s">
        <v>85</v>
      </c>
      <c r="I71" s="1">
        <v>121</v>
      </c>
      <c r="J71" s="1">
        <v>120</v>
      </c>
      <c r="K71" s="1">
        <v>10</v>
      </c>
      <c r="L71" s="1">
        <v>12</v>
      </c>
      <c r="M71" s="1">
        <v>35</v>
      </c>
      <c r="N71" s="1">
        <v>7.5</v>
      </c>
      <c r="O71" s="1" t="s">
        <v>28</v>
      </c>
      <c r="P71" s="6">
        <f t="shared" si="11"/>
        <v>1.0083333333333333</v>
      </c>
      <c r="Q71" s="6">
        <f t="shared" si="7"/>
        <v>8.2644628099173556E-2</v>
      </c>
      <c r="R71" s="6">
        <f t="shared" si="8"/>
        <v>9.9173553719008267E-2</v>
      </c>
      <c r="S71" s="7">
        <f t="shared" si="9"/>
        <v>16.133333333333333</v>
      </c>
      <c r="T71" s="5" t="str">
        <f t="shared" si="10"/>
        <v>met target</v>
      </c>
    </row>
    <row r="72" spans="1:20">
      <c r="A72" s="2">
        <v>46246</v>
      </c>
      <c r="B72" s="1" t="s">
        <v>43</v>
      </c>
      <c r="C72" s="1" t="s">
        <v>44</v>
      </c>
      <c r="D72" s="1" t="s">
        <v>23</v>
      </c>
      <c r="E72" s="1" t="s">
        <v>131</v>
      </c>
      <c r="F72" s="1" t="s">
        <v>33</v>
      </c>
      <c r="G72" s="1" t="s">
        <v>47</v>
      </c>
      <c r="H72" s="1" t="s">
        <v>90</v>
      </c>
      <c r="I72" s="1">
        <v>110</v>
      </c>
      <c r="J72" s="1">
        <v>120</v>
      </c>
      <c r="K72" s="1">
        <v>4</v>
      </c>
      <c r="L72" s="1">
        <v>6</v>
      </c>
      <c r="M72" s="1">
        <v>24</v>
      </c>
      <c r="N72" s="1">
        <v>8</v>
      </c>
      <c r="O72" s="1" t="s">
        <v>35</v>
      </c>
      <c r="P72" s="6">
        <f t="shared" si="11"/>
        <v>0.91666666666666663</v>
      </c>
      <c r="Q72" s="6">
        <f t="shared" si="7"/>
        <v>3.6363636363636362E-2</v>
      </c>
      <c r="R72" s="6">
        <f t="shared" si="8"/>
        <v>5.4545454545454543E-2</v>
      </c>
      <c r="S72" s="7">
        <f t="shared" si="9"/>
        <v>13.75</v>
      </c>
      <c r="T72" s="5" t="str">
        <f t="shared" si="10"/>
        <v>below target</v>
      </c>
    </row>
    <row r="73" spans="1:20">
      <c r="A73" s="2">
        <v>46244</v>
      </c>
      <c r="B73" s="1" t="s">
        <v>56</v>
      </c>
      <c r="C73" s="1" t="s">
        <v>57</v>
      </c>
      <c r="D73" s="1" t="s">
        <v>23</v>
      </c>
      <c r="E73" s="1" t="s">
        <v>62</v>
      </c>
      <c r="F73" s="1" t="s">
        <v>42</v>
      </c>
      <c r="G73" s="1" t="s">
        <v>47</v>
      </c>
      <c r="H73" s="1" t="s">
        <v>27</v>
      </c>
      <c r="I73" s="1">
        <v>136</v>
      </c>
      <c r="J73" s="1">
        <v>130</v>
      </c>
      <c r="K73" s="1">
        <v>0</v>
      </c>
      <c r="L73" s="1">
        <v>1</v>
      </c>
      <c r="M73" s="1">
        <v>23</v>
      </c>
      <c r="N73" s="1">
        <v>7.5</v>
      </c>
      <c r="O73" s="1" t="s">
        <v>35</v>
      </c>
      <c r="P73" s="6">
        <f t="shared" si="11"/>
        <v>1.0461538461538462</v>
      </c>
      <c r="Q73" s="6">
        <f t="shared" si="7"/>
        <v>0</v>
      </c>
      <c r="R73" s="6">
        <f t="shared" si="8"/>
        <v>7.3529411764705881E-3</v>
      </c>
      <c r="S73" s="7">
        <f t="shared" si="9"/>
        <v>18.133333333333333</v>
      </c>
      <c r="T73" s="5" t="str">
        <f t="shared" si="10"/>
        <v>met target</v>
      </c>
    </row>
    <row r="74" spans="1:20">
      <c r="A74" s="2">
        <v>46239</v>
      </c>
      <c r="B74" s="1" t="s">
        <v>56</v>
      </c>
      <c r="C74" s="1" t="s">
        <v>57</v>
      </c>
      <c r="D74" s="1" t="s">
        <v>23</v>
      </c>
      <c r="E74" s="1" t="s">
        <v>132</v>
      </c>
      <c r="F74" s="1" t="s">
        <v>25</v>
      </c>
      <c r="G74" s="1" t="s">
        <v>26</v>
      </c>
      <c r="H74" s="1" t="s">
        <v>85</v>
      </c>
      <c r="I74" s="1">
        <v>107</v>
      </c>
      <c r="J74" s="1">
        <v>130</v>
      </c>
      <c r="K74" s="1">
        <v>7</v>
      </c>
      <c r="L74" s="1">
        <v>9</v>
      </c>
      <c r="M74" s="1">
        <v>20</v>
      </c>
      <c r="N74" s="1">
        <v>7.5</v>
      </c>
      <c r="O74" s="1" t="s">
        <v>35</v>
      </c>
      <c r="P74" s="6">
        <f t="shared" si="11"/>
        <v>0.82307692307692304</v>
      </c>
      <c r="Q74" s="6">
        <f t="shared" si="7"/>
        <v>6.5420560747663545E-2</v>
      </c>
      <c r="R74" s="6">
        <f t="shared" si="8"/>
        <v>8.4112149532710276E-2</v>
      </c>
      <c r="S74" s="7">
        <f t="shared" si="9"/>
        <v>14.266666666666667</v>
      </c>
      <c r="T74" s="5" t="str">
        <f t="shared" si="10"/>
        <v>below target</v>
      </c>
    </row>
    <row r="75" spans="1:20">
      <c r="A75" s="2">
        <v>46237</v>
      </c>
      <c r="B75" s="1" t="s">
        <v>56</v>
      </c>
      <c r="C75" s="1" t="s">
        <v>57</v>
      </c>
      <c r="D75" s="1" t="s">
        <v>23</v>
      </c>
      <c r="E75" s="1" t="s">
        <v>61</v>
      </c>
      <c r="F75" s="1" t="s">
        <v>42</v>
      </c>
      <c r="G75" s="1" t="s">
        <v>38</v>
      </c>
      <c r="H75" s="1" t="s">
        <v>27</v>
      </c>
      <c r="I75" s="1">
        <v>139</v>
      </c>
      <c r="J75" s="1">
        <v>130</v>
      </c>
      <c r="K75" s="1">
        <v>3</v>
      </c>
      <c r="L75" s="1">
        <v>5</v>
      </c>
      <c r="M75" s="1">
        <v>15</v>
      </c>
      <c r="N75" s="1">
        <v>9</v>
      </c>
      <c r="O75" s="1" t="s">
        <v>35</v>
      </c>
      <c r="P75" s="6">
        <f t="shared" si="11"/>
        <v>1.0692307692307692</v>
      </c>
      <c r="Q75" s="6">
        <f t="shared" si="7"/>
        <v>2.1582733812949641E-2</v>
      </c>
      <c r="R75" s="6">
        <f t="shared" si="8"/>
        <v>3.5971223021582732E-2</v>
      </c>
      <c r="S75" s="7">
        <f t="shared" si="9"/>
        <v>15.444444444444445</v>
      </c>
      <c r="T75" s="5" t="str">
        <f t="shared" si="10"/>
        <v>met target</v>
      </c>
    </row>
    <row r="76" spans="1:20">
      <c r="A76" s="2">
        <v>46245</v>
      </c>
      <c r="B76" s="1" t="s">
        <v>39</v>
      </c>
      <c r="C76" s="1" t="s">
        <v>40</v>
      </c>
      <c r="D76" s="1" t="s">
        <v>23</v>
      </c>
      <c r="E76" s="1" t="s">
        <v>133</v>
      </c>
      <c r="F76" s="1" t="s">
        <v>33</v>
      </c>
      <c r="G76" s="1" t="s">
        <v>34</v>
      </c>
      <c r="H76" s="1" t="s">
        <v>85</v>
      </c>
      <c r="I76" s="1">
        <v>108</v>
      </c>
      <c r="J76" s="1">
        <v>110</v>
      </c>
      <c r="K76" s="1">
        <v>10</v>
      </c>
      <c r="L76" s="1">
        <v>12</v>
      </c>
      <c r="M76" s="1">
        <v>19</v>
      </c>
      <c r="N76" s="1">
        <v>8</v>
      </c>
      <c r="O76" s="1" t="s">
        <v>35</v>
      </c>
      <c r="P76" s="6">
        <f t="shared" si="11"/>
        <v>0.98181818181818181</v>
      </c>
      <c r="Q76" s="6">
        <f t="shared" si="7"/>
        <v>9.2592592592592587E-2</v>
      </c>
      <c r="R76" s="6">
        <f t="shared" si="8"/>
        <v>0.1111111111111111</v>
      </c>
      <c r="S76" s="7">
        <f t="shared" si="9"/>
        <v>13.5</v>
      </c>
      <c r="T76" s="5" t="str">
        <f t="shared" si="10"/>
        <v>below target</v>
      </c>
    </row>
    <row r="77" spans="1:20">
      <c r="A77" s="2">
        <v>46238</v>
      </c>
      <c r="B77" s="1" t="s">
        <v>21</v>
      </c>
      <c r="C77" s="1" t="s">
        <v>22</v>
      </c>
      <c r="D77" s="1" t="s">
        <v>23</v>
      </c>
      <c r="E77" s="1" t="s">
        <v>134</v>
      </c>
      <c r="F77" s="1" t="s">
        <v>25</v>
      </c>
      <c r="G77" s="1" t="s">
        <v>38</v>
      </c>
      <c r="H77" s="1" t="s">
        <v>85</v>
      </c>
      <c r="I77" s="1">
        <v>131</v>
      </c>
      <c r="J77" s="1">
        <v>130</v>
      </c>
      <c r="K77" s="1">
        <v>6</v>
      </c>
      <c r="L77" s="1">
        <v>6</v>
      </c>
      <c r="M77" s="1">
        <v>0</v>
      </c>
      <c r="N77" s="1">
        <v>8.5</v>
      </c>
      <c r="O77" s="1" t="s">
        <v>28</v>
      </c>
      <c r="P77" s="6">
        <f t="shared" si="11"/>
        <v>1.0076923076923077</v>
      </c>
      <c r="Q77" s="6">
        <f t="shared" si="7"/>
        <v>4.5801526717557252E-2</v>
      </c>
      <c r="R77" s="6">
        <f t="shared" si="8"/>
        <v>4.5801526717557252E-2</v>
      </c>
      <c r="S77" s="7">
        <f t="shared" si="9"/>
        <v>15.411764705882353</v>
      </c>
      <c r="T77" s="5" t="str">
        <f t="shared" si="10"/>
        <v>met target</v>
      </c>
    </row>
    <row r="78" spans="1:20">
      <c r="A78" s="2">
        <v>46248</v>
      </c>
      <c r="B78" s="1" t="s">
        <v>56</v>
      </c>
      <c r="C78" s="1" t="s">
        <v>57</v>
      </c>
      <c r="D78" s="1" t="s">
        <v>23</v>
      </c>
      <c r="E78" s="1" t="s">
        <v>58</v>
      </c>
      <c r="F78" s="1" t="s">
        <v>42</v>
      </c>
      <c r="G78" s="1" t="s">
        <v>38</v>
      </c>
      <c r="H78" s="1" t="s">
        <v>27</v>
      </c>
      <c r="I78" s="1">
        <v>111</v>
      </c>
      <c r="J78" s="1">
        <v>110</v>
      </c>
      <c r="K78" s="1">
        <v>0</v>
      </c>
      <c r="L78" s="1">
        <v>0</v>
      </c>
      <c r="M78" s="1">
        <v>22</v>
      </c>
      <c r="N78" s="1">
        <v>8</v>
      </c>
      <c r="O78" s="1" t="s">
        <v>35</v>
      </c>
      <c r="P78" s="6">
        <f t="shared" si="11"/>
        <v>1.009090909090909</v>
      </c>
      <c r="Q78" s="6">
        <f t="shared" si="7"/>
        <v>0</v>
      </c>
      <c r="R78" s="6">
        <f t="shared" si="8"/>
        <v>0</v>
      </c>
      <c r="S78" s="7">
        <f t="shared" si="9"/>
        <v>13.875</v>
      </c>
      <c r="T78" s="5" t="str">
        <f t="shared" si="10"/>
        <v>met target</v>
      </c>
    </row>
    <row r="79" spans="1:20">
      <c r="A79" s="2">
        <v>46239</v>
      </c>
      <c r="B79" s="1" t="s">
        <v>53</v>
      </c>
      <c r="C79" s="1" t="s">
        <v>54</v>
      </c>
      <c r="D79" s="1" t="s">
        <v>23</v>
      </c>
      <c r="E79" s="1" t="s">
        <v>55</v>
      </c>
      <c r="F79" s="1" t="s">
        <v>42</v>
      </c>
      <c r="G79" s="1" t="s">
        <v>47</v>
      </c>
      <c r="H79" s="1" t="s">
        <v>27</v>
      </c>
      <c r="I79" s="1">
        <v>95</v>
      </c>
      <c r="J79" s="1">
        <v>100</v>
      </c>
      <c r="K79" s="1">
        <v>3</v>
      </c>
      <c r="L79" s="1">
        <v>2</v>
      </c>
      <c r="M79" s="1">
        <v>12</v>
      </c>
      <c r="N79" s="1">
        <v>7.5</v>
      </c>
      <c r="O79" s="1" t="s">
        <v>28</v>
      </c>
      <c r="P79" s="6">
        <f t="shared" si="11"/>
        <v>0.95</v>
      </c>
      <c r="Q79" s="6">
        <f t="shared" si="7"/>
        <v>3.1578947368421054E-2</v>
      </c>
      <c r="R79" s="6">
        <f t="shared" si="8"/>
        <v>2.1052631578947368E-2</v>
      </c>
      <c r="S79" s="7">
        <f t="shared" si="9"/>
        <v>12.666666666666666</v>
      </c>
      <c r="T79" s="5" t="str">
        <f t="shared" si="10"/>
        <v>below target</v>
      </c>
    </row>
    <row r="80" spans="1:20">
      <c r="A80" s="2">
        <v>46239</v>
      </c>
      <c r="B80" s="1" t="s">
        <v>49</v>
      </c>
      <c r="C80" s="1" t="s">
        <v>50</v>
      </c>
      <c r="D80" s="1" t="s">
        <v>23</v>
      </c>
      <c r="E80" s="1" t="s">
        <v>51</v>
      </c>
      <c r="F80" s="1" t="s">
        <v>25</v>
      </c>
      <c r="G80" s="1" t="s">
        <v>34</v>
      </c>
      <c r="H80" s="1" t="s">
        <v>27</v>
      </c>
      <c r="I80" s="1">
        <v>91</v>
      </c>
      <c r="J80" s="1">
        <v>100</v>
      </c>
      <c r="K80" s="1">
        <v>6</v>
      </c>
      <c r="L80" s="1">
        <v>8</v>
      </c>
      <c r="M80" s="1">
        <v>33</v>
      </c>
      <c r="N80" s="1">
        <v>9</v>
      </c>
      <c r="O80" s="1" t="s">
        <v>28</v>
      </c>
      <c r="P80" s="6">
        <f t="shared" si="11"/>
        <v>0.91</v>
      </c>
      <c r="Q80" s="6">
        <f t="shared" si="7"/>
        <v>6.5934065934065936E-2</v>
      </c>
      <c r="R80" s="6">
        <f t="shared" si="8"/>
        <v>8.7912087912087919E-2</v>
      </c>
      <c r="S80" s="7">
        <f t="shared" si="9"/>
        <v>10.111111111111111</v>
      </c>
      <c r="T80" s="5" t="str">
        <f t="shared" si="10"/>
        <v>below target</v>
      </c>
    </row>
    <row r="81" spans="1:20">
      <c r="A81" s="2">
        <v>46238</v>
      </c>
      <c r="B81" s="1" t="s">
        <v>39</v>
      </c>
      <c r="C81" s="1" t="s">
        <v>40</v>
      </c>
      <c r="D81" s="1" t="s">
        <v>23</v>
      </c>
      <c r="E81" s="1" t="s">
        <v>135</v>
      </c>
      <c r="F81" s="1" t="s">
        <v>33</v>
      </c>
      <c r="G81" s="1" t="s">
        <v>38</v>
      </c>
      <c r="H81" s="1" t="s">
        <v>90</v>
      </c>
      <c r="I81" s="1">
        <v>115</v>
      </c>
      <c r="J81" s="1">
        <v>130</v>
      </c>
      <c r="K81" s="1">
        <v>2</v>
      </c>
      <c r="L81" s="1">
        <v>2</v>
      </c>
      <c r="M81" s="1">
        <v>12</v>
      </c>
      <c r="N81" s="1">
        <v>9</v>
      </c>
      <c r="O81" s="1" t="s">
        <v>35</v>
      </c>
      <c r="P81" s="6">
        <f t="shared" si="11"/>
        <v>0.88461538461538458</v>
      </c>
      <c r="Q81" s="6">
        <f t="shared" si="7"/>
        <v>1.7391304347826087E-2</v>
      </c>
      <c r="R81" s="6">
        <f t="shared" si="8"/>
        <v>1.7391304347826087E-2</v>
      </c>
      <c r="S81" s="7">
        <f t="shared" si="9"/>
        <v>12.777777777777779</v>
      </c>
      <c r="T81" s="5" t="str">
        <f t="shared" si="10"/>
        <v>below target</v>
      </c>
    </row>
    <row r="82" spans="1:20">
      <c r="A82" s="2">
        <v>46244</v>
      </c>
      <c r="B82" s="1" t="s">
        <v>39</v>
      </c>
      <c r="C82" s="1" t="s">
        <v>40</v>
      </c>
      <c r="D82" s="1" t="s">
        <v>23</v>
      </c>
      <c r="E82" s="1" t="s">
        <v>48</v>
      </c>
      <c r="F82" s="1" t="s">
        <v>25</v>
      </c>
      <c r="G82" s="1" t="s">
        <v>26</v>
      </c>
      <c r="H82" s="1" t="s">
        <v>27</v>
      </c>
      <c r="I82" s="1">
        <v>77</v>
      </c>
      <c r="J82" s="1">
        <v>90</v>
      </c>
      <c r="K82" s="1">
        <v>0</v>
      </c>
      <c r="L82" s="1">
        <v>0</v>
      </c>
      <c r="M82" s="1">
        <v>8</v>
      </c>
      <c r="N82" s="1">
        <v>7.5</v>
      </c>
      <c r="O82" s="1" t="s">
        <v>35</v>
      </c>
      <c r="P82" s="6">
        <f t="shared" si="11"/>
        <v>0.85555555555555551</v>
      </c>
      <c r="Q82" s="6">
        <f t="shared" si="7"/>
        <v>0</v>
      </c>
      <c r="R82" s="6">
        <f t="shared" si="8"/>
        <v>0</v>
      </c>
      <c r="S82" s="7">
        <f t="shared" si="9"/>
        <v>10.266666666666667</v>
      </c>
      <c r="T82" s="5" t="str">
        <f t="shared" si="10"/>
        <v>below target</v>
      </c>
    </row>
    <row r="83" spans="1:20">
      <c r="A83" s="2">
        <v>46247</v>
      </c>
      <c r="B83" s="1" t="s">
        <v>39</v>
      </c>
      <c r="C83" s="1" t="s">
        <v>40</v>
      </c>
      <c r="D83" s="1" t="s">
        <v>23</v>
      </c>
      <c r="E83" s="1" t="s">
        <v>41</v>
      </c>
      <c r="F83" s="1" t="s">
        <v>42</v>
      </c>
      <c r="G83" s="1" t="s">
        <v>34</v>
      </c>
      <c r="H83" s="1" t="s">
        <v>27</v>
      </c>
      <c r="I83" s="1">
        <v>125</v>
      </c>
      <c r="J83" s="1">
        <v>130</v>
      </c>
      <c r="K83" s="1">
        <v>3</v>
      </c>
      <c r="L83" s="1">
        <v>3</v>
      </c>
      <c r="M83" s="1">
        <v>14</v>
      </c>
      <c r="N83" s="1">
        <v>8</v>
      </c>
      <c r="O83" s="1" t="s">
        <v>35</v>
      </c>
      <c r="P83" s="6">
        <f t="shared" si="11"/>
        <v>0.96153846153846156</v>
      </c>
      <c r="Q83" s="6">
        <f t="shared" si="7"/>
        <v>2.4E-2</v>
      </c>
      <c r="R83" s="6">
        <f t="shared" si="8"/>
        <v>2.4E-2</v>
      </c>
      <c r="S83" s="7">
        <f t="shared" si="9"/>
        <v>15.625</v>
      </c>
      <c r="T83" s="5" t="str">
        <f t="shared" si="10"/>
        <v>below target</v>
      </c>
    </row>
    <row r="84" spans="1:20">
      <c r="A84" s="2">
        <v>46239</v>
      </c>
      <c r="B84" s="1" t="s">
        <v>43</v>
      </c>
      <c r="C84" s="1" t="s">
        <v>44</v>
      </c>
      <c r="D84" s="1" t="s">
        <v>23</v>
      </c>
      <c r="E84" s="1" t="s">
        <v>136</v>
      </c>
      <c r="F84" s="1" t="s">
        <v>25</v>
      </c>
      <c r="G84" s="1" t="s">
        <v>38</v>
      </c>
      <c r="H84" s="1" t="s">
        <v>85</v>
      </c>
      <c r="I84" s="1">
        <v>101</v>
      </c>
      <c r="J84" s="1">
        <v>100</v>
      </c>
      <c r="K84" s="1">
        <v>3</v>
      </c>
      <c r="L84" s="1">
        <v>3</v>
      </c>
      <c r="M84" s="1">
        <v>4</v>
      </c>
      <c r="N84" s="1">
        <v>7.5</v>
      </c>
      <c r="O84" s="1" t="s">
        <v>35</v>
      </c>
      <c r="P84" s="6">
        <f t="shared" si="11"/>
        <v>1.01</v>
      </c>
      <c r="Q84" s="6">
        <f t="shared" si="7"/>
        <v>2.9702970297029702E-2</v>
      </c>
      <c r="R84" s="6">
        <f t="shared" si="8"/>
        <v>2.9702970297029702E-2</v>
      </c>
      <c r="S84" s="7">
        <f t="shared" si="9"/>
        <v>13.466666666666667</v>
      </c>
      <c r="T84" s="5" t="str">
        <f t="shared" si="10"/>
        <v>met target</v>
      </c>
    </row>
    <row r="85" spans="1:20">
      <c r="A85" s="2">
        <v>46245</v>
      </c>
      <c r="B85" s="1" t="s">
        <v>21</v>
      </c>
      <c r="C85" s="1" t="s">
        <v>22</v>
      </c>
      <c r="D85" s="1" t="s">
        <v>23</v>
      </c>
      <c r="E85" s="1" t="s">
        <v>137</v>
      </c>
      <c r="F85" s="1" t="s">
        <v>42</v>
      </c>
      <c r="G85" s="1" t="s">
        <v>47</v>
      </c>
      <c r="H85" s="1" t="s">
        <v>90</v>
      </c>
      <c r="I85" s="1">
        <v>105</v>
      </c>
      <c r="J85" s="1">
        <v>120</v>
      </c>
      <c r="K85" s="1">
        <v>5</v>
      </c>
      <c r="L85" s="1">
        <v>6</v>
      </c>
      <c r="M85" s="1">
        <v>38</v>
      </c>
      <c r="N85" s="1">
        <v>8</v>
      </c>
      <c r="O85" s="1" t="s">
        <v>28</v>
      </c>
      <c r="P85" s="6">
        <f t="shared" si="11"/>
        <v>0.875</v>
      </c>
      <c r="Q85" s="6">
        <f t="shared" si="7"/>
        <v>4.7619047619047616E-2</v>
      </c>
      <c r="R85" s="6">
        <f t="shared" si="8"/>
        <v>5.7142857142857141E-2</v>
      </c>
      <c r="S85" s="7">
        <f t="shared" si="9"/>
        <v>13.125</v>
      </c>
      <c r="T85" s="5" t="str">
        <f t="shared" si="10"/>
        <v>below target</v>
      </c>
    </row>
    <row r="86" spans="1:20">
      <c r="A86" s="2">
        <v>46246</v>
      </c>
      <c r="B86" s="1" t="s">
        <v>49</v>
      </c>
      <c r="C86" s="1" t="s">
        <v>50</v>
      </c>
      <c r="D86" s="1" t="s">
        <v>23</v>
      </c>
      <c r="E86" s="1" t="s">
        <v>138</v>
      </c>
      <c r="F86" s="1" t="s">
        <v>25</v>
      </c>
      <c r="G86" s="1" t="s">
        <v>26</v>
      </c>
      <c r="H86" s="1" t="s">
        <v>90</v>
      </c>
      <c r="I86" s="1">
        <v>74</v>
      </c>
      <c r="J86" s="1">
        <v>100</v>
      </c>
      <c r="K86" s="1">
        <v>0</v>
      </c>
      <c r="L86" s="1">
        <v>0</v>
      </c>
      <c r="M86" s="1">
        <v>18</v>
      </c>
      <c r="N86" s="1">
        <v>8</v>
      </c>
      <c r="O86" s="1" t="s">
        <v>28</v>
      </c>
      <c r="P86" s="6">
        <f t="shared" si="11"/>
        <v>0.74</v>
      </c>
      <c r="Q86" s="6">
        <f t="shared" si="7"/>
        <v>0</v>
      </c>
      <c r="R86" s="6">
        <f t="shared" si="8"/>
        <v>0</v>
      </c>
      <c r="S86" s="7">
        <f t="shared" si="9"/>
        <v>9.25</v>
      </c>
      <c r="T86" s="5" t="str">
        <f t="shared" si="10"/>
        <v>below target</v>
      </c>
    </row>
    <row r="87" spans="1:20">
      <c r="A87" s="2">
        <v>46241</v>
      </c>
      <c r="B87" s="1" t="s">
        <v>30</v>
      </c>
      <c r="C87" s="1" t="s">
        <v>31</v>
      </c>
      <c r="D87" s="1" t="s">
        <v>23</v>
      </c>
      <c r="E87" s="1" t="s">
        <v>37</v>
      </c>
      <c r="F87" s="1" t="s">
        <v>33</v>
      </c>
      <c r="G87" s="1" t="s">
        <v>38</v>
      </c>
      <c r="H87" s="1" t="s">
        <v>27</v>
      </c>
      <c r="I87" s="1">
        <v>120</v>
      </c>
      <c r="J87" s="1">
        <v>120</v>
      </c>
      <c r="K87" s="1">
        <v>2</v>
      </c>
      <c r="L87" s="1">
        <v>3</v>
      </c>
      <c r="M87" s="1">
        <v>46</v>
      </c>
      <c r="N87" s="1">
        <v>9</v>
      </c>
      <c r="O87" s="1" t="s">
        <v>35</v>
      </c>
      <c r="P87" s="6">
        <f t="shared" si="11"/>
        <v>1</v>
      </c>
      <c r="Q87" s="6">
        <f t="shared" si="7"/>
        <v>1.6666666666666666E-2</v>
      </c>
      <c r="R87" s="6">
        <f t="shared" si="8"/>
        <v>2.5000000000000001E-2</v>
      </c>
      <c r="S87" s="7">
        <f t="shared" si="9"/>
        <v>13.333333333333334</v>
      </c>
      <c r="T87" s="5" t="str">
        <f t="shared" si="10"/>
        <v>met target</v>
      </c>
    </row>
    <row r="88" spans="1:20">
      <c r="A88" s="2">
        <v>46238</v>
      </c>
      <c r="B88" s="1" t="s">
        <v>56</v>
      </c>
      <c r="C88" s="1" t="s">
        <v>57</v>
      </c>
      <c r="D88" s="1" t="s">
        <v>23</v>
      </c>
      <c r="E88" s="1" t="s">
        <v>139</v>
      </c>
      <c r="F88" s="1" t="s">
        <v>25</v>
      </c>
      <c r="G88" s="1" t="s">
        <v>47</v>
      </c>
      <c r="H88" s="1" t="s">
        <v>90</v>
      </c>
      <c r="I88" s="1">
        <v>127</v>
      </c>
      <c r="J88" s="1">
        <v>130</v>
      </c>
      <c r="K88" s="1">
        <v>1</v>
      </c>
      <c r="L88" s="1">
        <v>1</v>
      </c>
      <c r="M88" s="1">
        <v>24</v>
      </c>
      <c r="N88" s="1">
        <v>7.5</v>
      </c>
      <c r="O88" s="1" t="s">
        <v>35</v>
      </c>
      <c r="P88" s="6">
        <f t="shared" si="11"/>
        <v>0.97692307692307689</v>
      </c>
      <c r="Q88" s="6">
        <f t="shared" si="7"/>
        <v>7.874015748031496E-3</v>
      </c>
      <c r="R88" s="6">
        <f t="shared" si="8"/>
        <v>7.874015748031496E-3</v>
      </c>
      <c r="S88" s="7">
        <f t="shared" si="9"/>
        <v>16.933333333333334</v>
      </c>
      <c r="T88" s="5" t="str">
        <f t="shared" si="10"/>
        <v>below target</v>
      </c>
    </row>
    <row r="89" spans="1:20">
      <c r="A89" s="2">
        <v>46237</v>
      </c>
      <c r="B89" s="1" t="s">
        <v>21</v>
      </c>
      <c r="C89" s="1" t="s">
        <v>22</v>
      </c>
      <c r="D89" s="1" t="s">
        <v>23</v>
      </c>
      <c r="E89" s="1" t="s">
        <v>140</v>
      </c>
      <c r="F89" s="1" t="s">
        <v>25</v>
      </c>
      <c r="G89" s="1" t="s">
        <v>26</v>
      </c>
      <c r="H89" s="1" t="s">
        <v>85</v>
      </c>
      <c r="I89" s="1">
        <v>74</v>
      </c>
      <c r="J89" s="1">
        <v>90</v>
      </c>
      <c r="K89" s="1">
        <v>9</v>
      </c>
      <c r="L89" s="1">
        <v>9</v>
      </c>
      <c r="M89" s="1">
        <v>25</v>
      </c>
      <c r="N89" s="1">
        <v>8</v>
      </c>
      <c r="O89" s="1" t="s">
        <v>28</v>
      </c>
      <c r="P89" s="6">
        <f t="shared" si="11"/>
        <v>0.82222222222222219</v>
      </c>
      <c r="Q89" s="6">
        <f t="shared" si="7"/>
        <v>0.12162162162162163</v>
      </c>
      <c r="R89" s="6">
        <f t="shared" si="8"/>
        <v>0.12162162162162163</v>
      </c>
      <c r="S89" s="7">
        <f t="shared" si="9"/>
        <v>9.25</v>
      </c>
      <c r="T89" s="5" t="str">
        <f t="shared" si="10"/>
        <v>below target</v>
      </c>
    </row>
    <row r="90" spans="1:20">
      <c r="A90" s="2">
        <v>46248</v>
      </c>
      <c r="B90" s="1" t="s">
        <v>49</v>
      </c>
      <c r="C90" s="1" t="s">
        <v>50</v>
      </c>
      <c r="D90" s="1" t="s">
        <v>23</v>
      </c>
      <c r="E90" s="1" t="s">
        <v>141</v>
      </c>
      <c r="F90" s="1" t="s">
        <v>33</v>
      </c>
      <c r="G90" s="1" t="s">
        <v>38</v>
      </c>
      <c r="H90" s="1" t="s">
        <v>90</v>
      </c>
      <c r="I90" s="1">
        <v>118</v>
      </c>
      <c r="J90" s="1">
        <v>110</v>
      </c>
      <c r="K90" s="1">
        <v>4</v>
      </c>
      <c r="L90" s="1">
        <v>6</v>
      </c>
      <c r="M90" s="1">
        <v>13</v>
      </c>
      <c r="N90" s="1">
        <v>8</v>
      </c>
      <c r="O90" s="1" t="s">
        <v>28</v>
      </c>
      <c r="P90" s="6">
        <f t="shared" si="11"/>
        <v>1.0727272727272728</v>
      </c>
      <c r="Q90" s="6">
        <f t="shared" si="7"/>
        <v>3.3898305084745763E-2</v>
      </c>
      <c r="R90" s="6">
        <f t="shared" si="8"/>
        <v>5.0847457627118647E-2</v>
      </c>
      <c r="S90" s="7">
        <f t="shared" si="9"/>
        <v>14.75</v>
      </c>
      <c r="T90" s="5" t="str">
        <f t="shared" si="10"/>
        <v>met target</v>
      </c>
    </row>
    <row r="91" spans="1:20">
      <c r="A91" s="4">
        <v>46239</v>
      </c>
      <c r="B91" s="5" t="s">
        <v>30</v>
      </c>
      <c r="C91" s="5" t="s">
        <v>31</v>
      </c>
      <c r="D91" s="5" t="s">
        <v>23</v>
      </c>
      <c r="E91" s="5" t="s">
        <v>32</v>
      </c>
      <c r="F91" s="5" t="s">
        <v>33</v>
      </c>
      <c r="G91" s="5" t="s">
        <v>34</v>
      </c>
      <c r="H91" s="5" t="s">
        <v>27</v>
      </c>
      <c r="I91" s="5">
        <v>135</v>
      </c>
      <c r="J91" s="5">
        <v>120</v>
      </c>
      <c r="K91" s="5">
        <v>0</v>
      </c>
      <c r="L91" s="5">
        <v>2</v>
      </c>
      <c r="M91" s="5">
        <v>14</v>
      </c>
      <c r="N91" s="5">
        <v>9</v>
      </c>
      <c r="O91" s="5" t="s">
        <v>35</v>
      </c>
      <c r="P91" s="6">
        <f t="shared" si="11"/>
        <v>1.125</v>
      </c>
      <c r="Q91" s="6">
        <f t="shared" si="7"/>
        <v>0</v>
      </c>
      <c r="R91" s="6">
        <f t="shared" si="8"/>
        <v>1.4814814814814815E-2</v>
      </c>
      <c r="S91" s="7">
        <f t="shared" si="9"/>
        <v>15</v>
      </c>
      <c r="T91" s="5" t="str">
        <f t="shared" si="10"/>
        <v>met target</v>
      </c>
    </row>
    <row r="96" spans="1:20">
      <c r="F96" t="str">
        <f>PROPER(F76)</f>
        <v>Sensor Unit C</v>
      </c>
      <c r="G96" t="str">
        <f>PROPER(G31)</f>
        <v>Assembly</v>
      </c>
      <c r="H96" t="str">
        <f>_xlfn.XLOOKUP(C63,$C$2:$C$91,$O$2:$O$91)</f>
        <v>Jennifer Lee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0CDC1-B0E3-4705-8FEF-3C7E85D0A0AD}">
  <dimension ref="A1:AD42"/>
  <sheetViews>
    <sheetView tabSelected="1" topLeftCell="A14" workbookViewId="0">
      <selection activeCell="A30" sqref="A30:AD30"/>
    </sheetView>
  </sheetViews>
  <sheetFormatPr defaultRowHeight="15"/>
  <cols>
    <col min="1" max="1" width="31.28515625" customWidth="1"/>
    <col min="2" max="2" width="10.85546875" bestFit="1" customWidth="1"/>
    <col min="4" max="4" width="13.28515625" bestFit="1" customWidth="1"/>
    <col min="5" max="5" width="21.85546875" bestFit="1" customWidth="1"/>
    <col min="6" max="6" width="19" bestFit="1" customWidth="1"/>
    <col min="7" max="7" width="21.85546875" bestFit="1" customWidth="1"/>
    <col min="8" max="8" width="20.140625" bestFit="1" customWidth="1"/>
    <col min="9" max="9" width="25.42578125" bestFit="1" customWidth="1"/>
    <col min="10" max="10" width="19" bestFit="1" customWidth="1"/>
    <col min="11" max="11" width="21.85546875" bestFit="1" customWidth="1"/>
    <col min="12" max="12" width="19" bestFit="1" customWidth="1"/>
    <col min="13" max="13" width="21.85546875" bestFit="1" customWidth="1"/>
    <col min="14" max="14" width="20.140625" bestFit="1" customWidth="1"/>
    <col min="15" max="15" width="25.42578125" bestFit="1" customWidth="1"/>
    <col min="16" max="16" width="21" bestFit="1" customWidth="1"/>
  </cols>
  <sheetData>
    <row r="1" spans="1:16">
      <c r="A1" t="s">
        <v>142</v>
      </c>
    </row>
    <row r="3" spans="1:16">
      <c r="A3" t="s">
        <v>143</v>
      </c>
      <c r="B3">
        <f>SUM('Raw Data'!I2:I91)</f>
        <v>9661</v>
      </c>
      <c r="D3" s="10" t="s">
        <v>8</v>
      </c>
      <c r="E3" t="s">
        <v>144</v>
      </c>
      <c r="F3" t="s">
        <v>145</v>
      </c>
      <c r="G3" t="s">
        <v>146</v>
      </c>
      <c r="H3" t="s">
        <v>147</v>
      </c>
      <c r="J3" s="10" t="s">
        <v>3</v>
      </c>
      <c r="K3" t="s">
        <v>144</v>
      </c>
      <c r="L3" t="s">
        <v>146</v>
      </c>
      <c r="M3" t="s">
        <v>148</v>
      </c>
      <c r="N3" t="s">
        <v>145</v>
      </c>
      <c r="O3" t="s">
        <v>147</v>
      </c>
      <c r="P3" t="s">
        <v>149</v>
      </c>
    </row>
    <row r="4" spans="1:16">
      <c r="A4" t="s">
        <v>150</v>
      </c>
      <c r="B4">
        <f>SUM('Raw Data'!J2:J91)</f>
        <v>10060</v>
      </c>
      <c r="D4" t="s">
        <v>27</v>
      </c>
      <c r="E4" s="9">
        <v>3728</v>
      </c>
      <c r="F4" s="9">
        <v>145</v>
      </c>
      <c r="G4" s="9">
        <v>3860</v>
      </c>
      <c r="H4" s="9">
        <v>591</v>
      </c>
      <c r="J4" t="s">
        <v>57</v>
      </c>
      <c r="K4" s="9">
        <v>1269</v>
      </c>
      <c r="L4" s="9">
        <v>1300</v>
      </c>
      <c r="M4" s="9">
        <v>48</v>
      </c>
      <c r="N4" s="9">
        <v>55</v>
      </c>
      <c r="O4" s="9">
        <v>200</v>
      </c>
      <c r="P4" s="9">
        <v>88</v>
      </c>
    </row>
    <row r="5" spans="1:16">
      <c r="A5" t="s">
        <v>151</v>
      </c>
      <c r="B5">
        <f>SUM('Raw Data'!K2:K91)</f>
        <v>411</v>
      </c>
      <c r="D5" t="s">
        <v>90</v>
      </c>
      <c r="E5" s="9">
        <v>2713</v>
      </c>
      <c r="F5" s="9">
        <v>89</v>
      </c>
      <c r="G5" s="9">
        <v>2810</v>
      </c>
      <c r="H5" s="9">
        <v>573</v>
      </c>
      <c r="J5" t="s">
        <v>31</v>
      </c>
      <c r="K5" s="9">
        <v>1711</v>
      </c>
      <c r="L5" s="9">
        <v>1780</v>
      </c>
      <c r="M5" s="9">
        <v>77</v>
      </c>
      <c r="N5" s="9">
        <v>80</v>
      </c>
      <c r="O5" s="9">
        <v>363</v>
      </c>
      <c r="P5" s="9">
        <v>133.5</v>
      </c>
    </row>
    <row r="6" spans="1:16">
      <c r="A6" t="s">
        <v>152</v>
      </c>
      <c r="B6">
        <f>SUM('Raw Data'!L2:L91)</f>
        <v>452</v>
      </c>
      <c r="D6" t="s">
        <v>85</v>
      </c>
      <c r="E6" s="9">
        <v>3220</v>
      </c>
      <c r="F6" s="9">
        <v>218</v>
      </c>
      <c r="G6" s="9">
        <v>3390</v>
      </c>
      <c r="H6" s="9">
        <v>507</v>
      </c>
      <c r="J6" t="s">
        <v>44</v>
      </c>
      <c r="K6" s="9">
        <v>1095</v>
      </c>
      <c r="L6" s="9">
        <v>1150</v>
      </c>
      <c r="M6" s="9">
        <v>35</v>
      </c>
      <c r="N6" s="9">
        <v>47</v>
      </c>
      <c r="O6" s="9">
        <v>184</v>
      </c>
      <c r="P6" s="9">
        <v>88</v>
      </c>
    </row>
    <row r="7" spans="1:16">
      <c r="A7" t="s">
        <v>153</v>
      </c>
      <c r="B7">
        <f>SUM('Raw Data'!M2:M91)</f>
        <v>1671</v>
      </c>
      <c r="D7" t="s">
        <v>154</v>
      </c>
      <c r="E7" s="9">
        <v>9661</v>
      </c>
      <c r="F7" s="9">
        <v>452</v>
      </c>
      <c r="G7" s="9">
        <v>10060</v>
      </c>
      <c r="H7" s="9">
        <v>1671</v>
      </c>
      <c r="J7" t="s">
        <v>22</v>
      </c>
      <c r="K7" s="9">
        <v>1603</v>
      </c>
      <c r="L7" s="9">
        <v>1600</v>
      </c>
      <c r="M7" s="9">
        <v>84</v>
      </c>
      <c r="N7" s="9">
        <v>88</v>
      </c>
      <c r="O7" s="9">
        <v>275</v>
      </c>
      <c r="P7" s="9">
        <v>112</v>
      </c>
    </row>
    <row r="8" spans="1:16">
      <c r="A8" t="s">
        <v>155</v>
      </c>
      <c r="B8">
        <f>SUM('Raw Data'!N2:N91)</f>
        <v>731</v>
      </c>
      <c r="J8" t="s">
        <v>54</v>
      </c>
      <c r="K8" s="9">
        <v>854</v>
      </c>
      <c r="L8" s="9">
        <v>880</v>
      </c>
      <c r="M8" s="9">
        <v>41</v>
      </c>
      <c r="N8" s="9">
        <v>43</v>
      </c>
      <c r="O8" s="9">
        <v>136</v>
      </c>
      <c r="P8" s="9">
        <v>63.5</v>
      </c>
    </row>
    <row r="9" spans="1:16">
      <c r="A9" t="s">
        <v>156</v>
      </c>
      <c r="B9" s="8">
        <f>B3/B4</f>
        <v>0.96033797216699801</v>
      </c>
      <c r="J9" t="s">
        <v>50</v>
      </c>
      <c r="K9" s="9">
        <v>1549</v>
      </c>
      <c r="L9" s="9">
        <v>1660</v>
      </c>
      <c r="M9" s="9">
        <v>78</v>
      </c>
      <c r="N9" s="9">
        <v>89</v>
      </c>
      <c r="O9" s="9">
        <v>286</v>
      </c>
      <c r="P9" s="9">
        <v>124</v>
      </c>
    </row>
    <row r="10" spans="1:16">
      <c r="A10" t="s">
        <v>157</v>
      </c>
      <c r="B10" s="8">
        <f>B5/B3</f>
        <v>4.2542179898561225E-2</v>
      </c>
      <c r="D10" t="s">
        <v>158</v>
      </c>
      <c r="E10" t="s">
        <v>16</v>
      </c>
      <c r="F10" t="s">
        <v>18</v>
      </c>
      <c r="J10" t="s">
        <v>40</v>
      </c>
      <c r="K10" s="9">
        <v>1058</v>
      </c>
      <c r="L10" s="9">
        <v>1150</v>
      </c>
      <c r="M10" s="9">
        <v>40</v>
      </c>
      <c r="N10" s="9">
        <v>43</v>
      </c>
      <c r="O10" s="9">
        <v>182</v>
      </c>
      <c r="P10" s="9">
        <v>81.5</v>
      </c>
    </row>
    <row r="11" spans="1:16">
      <c r="A11" t="s">
        <v>159</v>
      </c>
      <c r="B11" s="8">
        <f>B6/B3</f>
        <v>4.6786046993064899E-2</v>
      </c>
      <c r="D11" t="s">
        <v>27</v>
      </c>
      <c r="E11" s="8">
        <f>E4/G4</f>
        <v>0.96580310880829012</v>
      </c>
      <c r="F11" s="8">
        <f>F4/E4</f>
        <v>3.8894849785407727E-2</v>
      </c>
      <c r="J11" t="s">
        <v>72</v>
      </c>
      <c r="K11" s="9">
        <v>522</v>
      </c>
      <c r="L11" s="9">
        <v>540</v>
      </c>
      <c r="M11" s="9">
        <v>8</v>
      </c>
      <c r="N11" s="9">
        <v>7</v>
      </c>
      <c r="O11" s="9">
        <v>45</v>
      </c>
      <c r="P11" s="9">
        <v>40.5</v>
      </c>
    </row>
    <row r="12" spans="1:16">
      <c r="A12" t="s">
        <v>160</v>
      </c>
      <c r="B12" s="9">
        <f>COUNTIF('Raw Data'!T2:T91,"met target")</f>
        <v>37</v>
      </c>
      <c r="D12" t="s">
        <v>90</v>
      </c>
      <c r="E12" s="8">
        <f>E5/G5</f>
        <v>0.96548042704626336</v>
      </c>
      <c r="F12" s="8">
        <f>F5/E5</f>
        <v>3.2805012900847773E-2</v>
      </c>
      <c r="J12" t="s">
        <v>154</v>
      </c>
      <c r="K12" s="9">
        <v>9661</v>
      </c>
      <c r="L12" s="9">
        <v>10060</v>
      </c>
      <c r="M12" s="9">
        <v>411</v>
      </c>
      <c r="N12" s="9">
        <v>452</v>
      </c>
      <c r="O12" s="9">
        <v>1671</v>
      </c>
      <c r="P12" s="9">
        <v>731</v>
      </c>
    </row>
    <row r="13" spans="1:16">
      <c r="A13" t="s">
        <v>161</v>
      </c>
      <c r="B13">
        <f>COUNTIF('Raw Data'!T2:T91,"below target")</f>
        <v>53</v>
      </c>
      <c r="D13" t="s">
        <v>85</v>
      </c>
      <c r="E13" s="8">
        <f>E6/G6</f>
        <v>0.94985250737463123</v>
      </c>
      <c r="F13" s="8">
        <f>F6/E6</f>
        <v>6.7701863354037273E-2</v>
      </c>
    </row>
    <row r="14" spans="1:16">
      <c r="A14" t="s">
        <v>162</v>
      </c>
      <c r="B14" s="8">
        <f>B12/(B12+B13)</f>
        <v>0.41111111111111109</v>
      </c>
    </row>
    <row r="16" spans="1:16">
      <c r="D16" s="10" t="s">
        <v>7</v>
      </c>
      <c r="E16" t="s">
        <v>144</v>
      </c>
      <c r="F16" t="s">
        <v>146</v>
      </c>
      <c r="G16" t="s">
        <v>148</v>
      </c>
      <c r="H16" t="s">
        <v>145</v>
      </c>
      <c r="I16" t="s">
        <v>147</v>
      </c>
      <c r="K16" t="s">
        <v>3</v>
      </c>
      <c r="L16" t="s">
        <v>16</v>
      </c>
      <c r="M16" t="s">
        <v>18</v>
      </c>
      <c r="N16" t="s">
        <v>19</v>
      </c>
    </row>
    <row r="17" spans="1:30">
      <c r="D17" t="s">
        <v>34</v>
      </c>
      <c r="E17" s="9">
        <v>2603</v>
      </c>
      <c r="F17" s="9">
        <v>2690</v>
      </c>
      <c r="G17" s="9">
        <v>123</v>
      </c>
      <c r="H17" s="9">
        <v>131</v>
      </c>
      <c r="I17" s="9">
        <v>458</v>
      </c>
      <c r="K17" t="s">
        <v>57</v>
      </c>
      <c r="L17" s="8">
        <f>K4/L4</f>
        <v>0.97615384615384615</v>
      </c>
      <c r="M17" s="8">
        <f>N4/K4</f>
        <v>4.3341213553979512E-2</v>
      </c>
      <c r="N17" s="12">
        <f>K4/P4</f>
        <v>14.420454545454545</v>
      </c>
    </row>
    <row r="18" spans="1:30">
      <c r="D18" t="s">
        <v>47</v>
      </c>
      <c r="E18" s="9">
        <v>2118</v>
      </c>
      <c r="F18" s="9">
        <v>2180</v>
      </c>
      <c r="G18" s="9">
        <v>97</v>
      </c>
      <c r="H18" s="9">
        <v>110</v>
      </c>
      <c r="I18" s="9">
        <v>385</v>
      </c>
      <c r="K18" t="s">
        <v>31</v>
      </c>
      <c r="L18" s="8">
        <f t="shared" ref="L18:L24" si="0">K5/L5</f>
        <v>0.96123595505617976</v>
      </c>
      <c r="M18" s="8">
        <f t="shared" ref="M18:M24" si="1">N5/K5</f>
        <v>4.6756282875511396E-2</v>
      </c>
      <c r="N18" s="12">
        <f t="shared" ref="N18:N24" si="2">K5/P5</f>
        <v>12.816479400749063</v>
      </c>
    </row>
    <row r="19" spans="1:30">
      <c r="D19" t="s">
        <v>38</v>
      </c>
      <c r="E19" s="9">
        <v>2377</v>
      </c>
      <c r="F19" s="9">
        <v>2500</v>
      </c>
      <c r="G19" s="9">
        <v>87</v>
      </c>
      <c r="H19" s="9">
        <v>95</v>
      </c>
      <c r="I19" s="9">
        <v>421</v>
      </c>
      <c r="K19" t="s">
        <v>44</v>
      </c>
      <c r="L19" s="8">
        <f t="shared" si="0"/>
        <v>0.95217391304347831</v>
      </c>
      <c r="M19" s="8">
        <f t="shared" si="1"/>
        <v>4.2922374429223746E-2</v>
      </c>
      <c r="N19" s="12">
        <f t="shared" si="2"/>
        <v>12.443181818181818</v>
      </c>
    </row>
    <row r="20" spans="1:30">
      <c r="D20" t="s">
        <v>26</v>
      </c>
      <c r="E20" s="9">
        <v>2563</v>
      </c>
      <c r="F20" s="9">
        <v>2690</v>
      </c>
      <c r="G20" s="9">
        <v>104</v>
      </c>
      <c r="H20" s="9">
        <v>116</v>
      </c>
      <c r="I20" s="9">
        <v>407</v>
      </c>
      <c r="K20" t="s">
        <v>22</v>
      </c>
      <c r="L20" s="8">
        <f t="shared" si="0"/>
        <v>1.0018750000000001</v>
      </c>
      <c r="M20" s="8">
        <f t="shared" si="1"/>
        <v>5.4897067997504677E-2</v>
      </c>
      <c r="N20" s="12">
        <f t="shared" si="2"/>
        <v>14.3125</v>
      </c>
    </row>
    <row r="21" spans="1:30">
      <c r="D21" t="s">
        <v>154</v>
      </c>
      <c r="E21" s="9">
        <v>9661</v>
      </c>
      <c r="F21" s="9">
        <v>10060</v>
      </c>
      <c r="G21" s="9">
        <v>411</v>
      </c>
      <c r="H21" s="9">
        <v>452</v>
      </c>
      <c r="I21" s="9">
        <v>1671</v>
      </c>
      <c r="K21" t="s">
        <v>54</v>
      </c>
      <c r="L21" s="8">
        <f t="shared" si="0"/>
        <v>0.97045454545454546</v>
      </c>
      <c r="M21" s="8">
        <f t="shared" si="1"/>
        <v>5.0351288056206089E-2</v>
      </c>
      <c r="N21" s="12">
        <f t="shared" si="2"/>
        <v>13.448818897637794</v>
      </c>
    </row>
    <row r="22" spans="1:30">
      <c r="K22" t="s">
        <v>50</v>
      </c>
      <c r="L22" s="8">
        <f t="shared" si="0"/>
        <v>0.93313253012048192</v>
      </c>
      <c r="M22" s="8">
        <f t="shared" si="1"/>
        <v>5.7456423499031635E-2</v>
      </c>
      <c r="N22" s="12">
        <f t="shared" si="2"/>
        <v>12.491935483870968</v>
      </c>
    </row>
    <row r="23" spans="1:30">
      <c r="D23" t="s">
        <v>7</v>
      </c>
      <c r="E23" t="s">
        <v>16</v>
      </c>
      <c r="F23" t="s">
        <v>18</v>
      </c>
      <c r="K23" t="s">
        <v>163</v>
      </c>
      <c r="L23" s="8">
        <f t="shared" si="0"/>
        <v>0.92</v>
      </c>
      <c r="M23" s="8">
        <f t="shared" si="1"/>
        <v>4.0642722117202268E-2</v>
      </c>
      <c r="N23" s="12">
        <f t="shared" si="2"/>
        <v>12.98159509202454</v>
      </c>
    </row>
    <row r="24" spans="1:30">
      <c r="D24" t="s">
        <v>34</v>
      </c>
      <c r="E24" s="8">
        <f>E17/F17</f>
        <v>0.9676579925650558</v>
      </c>
      <c r="F24" s="8">
        <f>H17/E17</f>
        <v>5.0326546292739145E-2</v>
      </c>
      <c r="K24" t="s">
        <v>72</v>
      </c>
      <c r="L24" s="8">
        <f t="shared" si="0"/>
        <v>0.96666666666666667</v>
      </c>
      <c r="M24" s="8">
        <f t="shared" si="1"/>
        <v>1.3409961685823755E-2</v>
      </c>
      <c r="N24" s="12">
        <f t="shared" si="2"/>
        <v>12.888888888888889</v>
      </c>
    </row>
    <row r="25" spans="1:30">
      <c r="D25" t="s">
        <v>47</v>
      </c>
      <c r="E25" s="8">
        <f>E18/F18</f>
        <v>0.97155963302752291</v>
      </c>
      <c r="F25" s="8">
        <f>H18/E18</f>
        <v>5.1935788479697827E-2</v>
      </c>
    </row>
    <row r="26" spans="1:30">
      <c r="D26" t="s">
        <v>38</v>
      </c>
      <c r="E26" s="8">
        <f>E19/F19</f>
        <v>0.95079999999999998</v>
      </c>
      <c r="F26" s="8">
        <f>H19/E19</f>
        <v>3.9966344131257887E-2</v>
      </c>
    </row>
    <row r="27" spans="1:30">
      <c r="D27" t="s">
        <v>26</v>
      </c>
      <c r="E27" s="8">
        <f>E20/F20</f>
        <v>0.95278810408921932</v>
      </c>
      <c r="F27" s="8">
        <f>H20/E20</f>
        <v>4.5259461568474442E-2</v>
      </c>
    </row>
    <row r="29" spans="1:30">
      <c r="A29" t="s">
        <v>164</v>
      </c>
    </row>
    <row r="30" spans="1:30">
      <c r="A30" s="34" t="s">
        <v>165</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spans="1:30">
      <c r="A31" s="17"/>
      <c r="B31" s="17"/>
      <c r="C31" s="17"/>
      <c r="D31" s="17"/>
      <c r="E31" s="17"/>
      <c r="F31" s="17"/>
      <c r="G31" s="17"/>
      <c r="H31" s="17"/>
    </row>
    <row r="32" spans="1:30">
      <c r="A32" s="17"/>
      <c r="B32" s="17"/>
      <c r="C32" s="17"/>
      <c r="D32" s="17"/>
      <c r="E32" s="17"/>
      <c r="F32" s="17"/>
      <c r="G32" s="17"/>
      <c r="H32" s="17"/>
    </row>
    <row r="33" spans="1:8">
      <c r="A33" s="17"/>
      <c r="B33" s="17"/>
      <c r="C33" s="17"/>
      <c r="D33" s="17"/>
      <c r="E33" s="17"/>
      <c r="F33" s="17"/>
      <c r="G33" s="17"/>
      <c r="H33" s="17"/>
    </row>
    <row r="34" spans="1:8">
      <c r="A34" s="17"/>
      <c r="B34" s="17"/>
      <c r="C34" s="17"/>
      <c r="D34" s="17"/>
      <c r="E34" s="17"/>
      <c r="F34" s="17"/>
      <c r="G34" s="17"/>
      <c r="H34" s="17"/>
    </row>
    <row r="35" spans="1:8">
      <c r="A35" s="17"/>
      <c r="B35" s="17"/>
      <c r="C35" s="17"/>
      <c r="D35" s="17"/>
      <c r="E35" s="17"/>
      <c r="F35" s="17"/>
      <c r="G35" s="17"/>
      <c r="H35" s="17"/>
    </row>
    <row r="36" spans="1:8">
      <c r="A36" s="17"/>
      <c r="B36" s="17"/>
      <c r="C36" s="17"/>
      <c r="D36" s="17"/>
      <c r="E36" s="17"/>
      <c r="F36" s="17"/>
      <c r="G36" s="17"/>
      <c r="H36" s="17"/>
    </row>
    <row r="37" spans="1:8">
      <c r="A37" s="17"/>
      <c r="B37" s="17"/>
      <c r="C37" s="17"/>
      <c r="D37" s="17"/>
      <c r="E37" s="17"/>
      <c r="F37" s="17"/>
      <c r="G37" s="17"/>
      <c r="H37" s="17"/>
    </row>
    <row r="38" spans="1:8">
      <c r="A38" s="17"/>
      <c r="B38" s="17"/>
      <c r="C38" s="17"/>
      <c r="D38" s="17"/>
      <c r="E38" s="17"/>
      <c r="F38" s="17"/>
      <c r="G38" s="17"/>
      <c r="H38" s="17"/>
    </row>
    <row r="39" spans="1:8">
      <c r="A39" s="17"/>
      <c r="B39" s="17"/>
      <c r="C39" s="17"/>
      <c r="D39" s="17"/>
      <c r="E39" s="17"/>
      <c r="F39" s="17"/>
      <c r="G39" s="17"/>
      <c r="H39" s="17"/>
    </row>
    <row r="40" spans="1:8">
      <c r="A40" s="17"/>
      <c r="B40" s="17"/>
      <c r="C40" s="17"/>
      <c r="D40" s="17"/>
      <c r="E40" s="17"/>
      <c r="F40" s="17"/>
      <c r="G40" s="17"/>
      <c r="H40" s="17"/>
    </row>
    <row r="41" spans="1:8">
      <c r="A41" s="17"/>
      <c r="B41" s="17"/>
      <c r="C41" s="17"/>
      <c r="D41" s="17"/>
      <c r="E41" s="17"/>
      <c r="F41" s="17"/>
      <c r="G41" s="17"/>
      <c r="H41" s="17"/>
    </row>
    <row r="42" spans="1:8">
      <c r="A42" s="17"/>
      <c r="B42" s="17"/>
      <c r="C42" s="17"/>
      <c r="D42" s="17"/>
      <c r="E42" s="17"/>
      <c r="F42" s="17"/>
      <c r="G42" s="17"/>
      <c r="H42" s="17"/>
    </row>
  </sheetData>
  <mergeCells count="1">
    <mergeCell ref="A30:AD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AA11"/>
  <sheetViews>
    <sheetView showGridLines="0" workbookViewId="0">
      <selection activeCell="S9" sqref="S9"/>
    </sheetView>
  </sheetViews>
  <sheetFormatPr defaultColWidth="9.140625" defaultRowHeight="15"/>
  <cols>
    <col min="1" max="1" width="18.7109375" customWidth="1"/>
    <col min="14" max="14" width="14.42578125" customWidth="1"/>
    <col min="15" max="15" width="11.7109375" customWidth="1"/>
    <col min="16" max="16" width="11.85546875" customWidth="1"/>
    <col min="18" max="18" width="15" customWidth="1"/>
    <col min="19" max="19" width="11.5703125" customWidth="1"/>
    <col min="22" max="27" width="9.140625" bestFit="1" customWidth="1"/>
  </cols>
  <sheetData>
    <row r="1" spans="3:27" ht="26.25">
      <c r="C1" s="13"/>
      <c r="D1" s="13"/>
      <c r="E1" s="13"/>
      <c r="F1" s="13"/>
      <c r="I1" s="20" t="s">
        <v>166</v>
      </c>
      <c r="J1" s="19"/>
      <c r="K1" s="19"/>
      <c r="L1" s="19"/>
      <c r="M1" s="19"/>
      <c r="N1" s="19"/>
      <c r="O1" s="19"/>
      <c r="P1" s="19"/>
    </row>
    <row r="3" spans="3:27">
      <c r="F3" s="15" t="s">
        <v>167</v>
      </c>
      <c r="G3" s="15"/>
      <c r="H3" s="15"/>
      <c r="I3" s="27"/>
      <c r="J3" s="15" t="s">
        <v>168</v>
      </c>
      <c r="K3" s="15"/>
      <c r="L3" s="15"/>
      <c r="M3" s="27"/>
      <c r="N3" s="15" t="s">
        <v>169</v>
      </c>
      <c r="O3" s="15"/>
      <c r="P3" s="15"/>
      <c r="R3" s="32"/>
    </row>
    <row r="4" spans="3:27" ht="26.25" customHeight="1">
      <c r="F4" s="16">
        <f>Analysis!B3</f>
        <v>9661</v>
      </c>
      <c r="G4" s="16"/>
      <c r="H4" s="16"/>
      <c r="I4" s="30"/>
      <c r="J4" s="18">
        <f>Analysis!B9</f>
        <v>0.96033797216699801</v>
      </c>
      <c r="K4" s="18"/>
      <c r="L4" s="18"/>
      <c r="M4" s="31"/>
      <c r="N4" s="18">
        <f>Analysis!B10</f>
        <v>4.2542179898561225E-2</v>
      </c>
      <c r="O4" s="18"/>
      <c r="P4" s="18"/>
      <c r="R4" s="33"/>
      <c r="AA4" s="8"/>
    </row>
    <row r="5" spans="3:27" ht="15" customHeight="1">
      <c r="F5" s="16"/>
      <c r="G5" s="16"/>
      <c r="H5" s="16"/>
      <c r="I5" s="30"/>
      <c r="J5" s="18"/>
      <c r="K5" s="18"/>
      <c r="L5" s="18"/>
      <c r="M5" s="31"/>
      <c r="N5" s="18"/>
      <c r="O5" s="18"/>
      <c r="P5" s="18"/>
      <c r="R5" s="33"/>
      <c r="AA5" s="8"/>
    </row>
    <row r="6" spans="3:27" ht="15" customHeight="1">
      <c r="AA6" s="8"/>
    </row>
    <row r="8" spans="3:27">
      <c r="F8" s="15" t="s">
        <v>170</v>
      </c>
      <c r="G8" s="15"/>
      <c r="H8" s="15"/>
      <c r="I8" s="27"/>
      <c r="J8" s="15" t="s">
        <v>171</v>
      </c>
      <c r="K8" s="15"/>
      <c r="L8" s="15"/>
      <c r="M8" s="15"/>
      <c r="N8" s="27" t="s">
        <v>172</v>
      </c>
      <c r="O8" s="28"/>
      <c r="P8" s="29"/>
    </row>
    <row r="9" spans="3:27" ht="26.25" customHeight="1">
      <c r="F9" s="18">
        <f>Analysis!B11</f>
        <v>4.6786046993064899E-2</v>
      </c>
      <c r="G9" s="18"/>
      <c r="H9" s="18"/>
      <c r="I9" s="31"/>
      <c r="J9" s="16">
        <f>Analysis!B7</f>
        <v>1671</v>
      </c>
      <c r="K9" s="16"/>
      <c r="L9" s="16"/>
      <c r="M9" s="16"/>
      <c r="N9" s="21">
        <f>Analysis!B14</f>
        <v>0.41111111111111109</v>
      </c>
      <c r="O9" s="22"/>
      <c r="P9" s="23"/>
    </row>
    <row r="10" spans="3:27" ht="15" customHeight="1">
      <c r="F10" s="18"/>
      <c r="G10" s="18"/>
      <c r="H10" s="18"/>
      <c r="I10" s="31"/>
      <c r="J10" s="16"/>
      <c r="K10" s="16"/>
      <c r="L10" s="16"/>
      <c r="M10" s="16"/>
      <c r="N10" s="24"/>
      <c r="O10" s="25"/>
      <c r="P10" s="26"/>
    </row>
    <row r="11" spans="3:27" ht="15" customHeight="1"/>
  </sheetData>
  <mergeCells count="12">
    <mergeCell ref="N3:P3"/>
    <mergeCell ref="N4:P5"/>
    <mergeCell ref="J8:M8"/>
    <mergeCell ref="J9:M10"/>
    <mergeCell ref="N8:P8"/>
    <mergeCell ref="N9:P10"/>
    <mergeCell ref="F3:I3"/>
    <mergeCell ref="F4:I5"/>
    <mergeCell ref="F8:I8"/>
    <mergeCell ref="F9:I10"/>
    <mergeCell ref="J3:M3"/>
    <mergeCell ref="J4:M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C4094-DB25-4BCD-BBA8-4D6585709F59}">
  <dimension ref="A1:I5"/>
  <sheetViews>
    <sheetView workbookViewId="0">
      <selection activeCell="H1" sqref="H1:I5"/>
    </sheetView>
  </sheetViews>
  <sheetFormatPr defaultRowHeight="15"/>
  <cols>
    <col min="1" max="1" width="15.140625" customWidth="1"/>
    <col min="2" max="2" width="13.5703125" customWidth="1"/>
    <col min="3" max="3" width="11.42578125" customWidth="1"/>
    <col min="5" max="5" width="14.5703125" customWidth="1"/>
    <col min="6" max="6" width="12.5703125" customWidth="1"/>
    <col min="8" max="8" width="12.5703125" customWidth="1"/>
    <col min="9" max="9" width="13.85546875" customWidth="1"/>
  </cols>
  <sheetData>
    <row r="1" spans="1:9">
      <c r="A1" s="11" t="s">
        <v>8</v>
      </c>
      <c r="B1" s="11" t="s">
        <v>9</v>
      </c>
      <c r="C1" s="11" t="s">
        <v>10</v>
      </c>
      <c r="E1" s="11" t="s">
        <v>8</v>
      </c>
      <c r="F1" s="11" t="s">
        <v>18</v>
      </c>
      <c r="H1" s="11" t="s">
        <v>7</v>
      </c>
      <c r="I1" s="11" t="s">
        <v>16</v>
      </c>
    </row>
    <row r="2" spans="1:9">
      <c r="A2" t="s">
        <v>27</v>
      </c>
      <c r="B2">
        <v>3728</v>
      </c>
      <c r="C2">
        <v>3860</v>
      </c>
      <c r="E2" t="s">
        <v>27</v>
      </c>
      <c r="F2" s="8">
        <v>3.8899999999999997E-2</v>
      </c>
      <c r="H2" t="s">
        <v>34</v>
      </c>
      <c r="I2" s="8">
        <v>0.9677</v>
      </c>
    </row>
    <row r="3" spans="1:9">
      <c r="A3" t="s">
        <v>90</v>
      </c>
      <c r="B3">
        <v>2713</v>
      </c>
      <c r="C3">
        <v>2810</v>
      </c>
      <c r="E3" t="s">
        <v>90</v>
      </c>
      <c r="F3" s="8">
        <v>3.2800000000000003E-2</v>
      </c>
      <c r="H3" t="s">
        <v>47</v>
      </c>
      <c r="I3" s="8">
        <v>0.97160000000000002</v>
      </c>
    </row>
    <row r="4" spans="1:9">
      <c r="A4" t="s">
        <v>85</v>
      </c>
      <c r="B4">
        <v>3220</v>
      </c>
      <c r="C4">
        <v>3390</v>
      </c>
      <c r="E4" t="s">
        <v>85</v>
      </c>
      <c r="F4" s="8">
        <v>6.7699999999999996E-2</v>
      </c>
      <c r="H4" t="s">
        <v>38</v>
      </c>
      <c r="I4" s="8">
        <v>0.95079999999999998</v>
      </c>
    </row>
    <row r="5" spans="1:9">
      <c r="H5" t="s">
        <v>26</v>
      </c>
      <c r="I5" s="8">
        <v>0.95279999999999998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2026-08-27T14:09:09Z</dcterms:created>
  <dcterms:modified xsi:type="dcterms:W3CDTF">2026-08-27T20:15:43Z</dcterms:modified>
  <cp:category/>
  <cp:contentStatus/>
</cp:coreProperties>
</file>